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gar\Downloads\"/>
    </mc:Choice>
  </mc:AlternateContent>
  <xr:revisionPtr revIDLastSave="0" documentId="13_ncr:1_{DB8F087B-B954-4639-8CC5-05CE7DD6F0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w to Use" sheetId="1" r:id="rId1"/>
    <sheet name="Syllabus Tracker" sheetId="3" r:id="rId2"/>
    <sheet name="Monthly Study Plan" sheetId="2" r:id="rId3"/>
    <sheet name="Progress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0" i="3" l="1"/>
  <c r="I70" i="3" s="1"/>
  <c r="G69" i="3"/>
  <c r="I69" i="3" s="1"/>
  <c r="G68" i="3"/>
  <c r="I68" i="3" s="1"/>
  <c r="G67" i="3"/>
  <c r="I67" i="3" s="1"/>
  <c r="G66" i="3"/>
  <c r="H66" i="3" s="1"/>
  <c r="G65" i="3"/>
  <c r="I65" i="3" s="1"/>
  <c r="G64" i="3"/>
  <c r="I64" i="3" s="1"/>
  <c r="G63" i="3"/>
  <c r="H63" i="3" s="1"/>
  <c r="G62" i="3"/>
  <c r="I62" i="3" s="1"/>
  <c r="G61" i="3"/>
  <c r="I61" i="3" s="1"/>
  <c r="G60" i="3"/>
  <c r="I60" i="3" s="1"/>
  <c r="G59" i="3"/>
  <c r="C7" i="4" s="1"/>
  <c r="D7" i="4" s="1"/>
  <c r="G58" i="3"/>
  <c r="I58" i="3" s="1"/>
  <c r="I57" i="3"/>
  <c r="G57" i="3"/>
  <c r="H57" i="3" s="1"/>
  <c r="I56" i="3"/>
  <c r="H56" i="3"/>
  <c r="G56" i="3"/>
  <c r="G55" i="3"/>
  <c r="I55" i="3" s="1"/>
  <c r="G54" i="3"/>
  <c r="I54" i="3" s="1"/>
  <c r="G53" i="3"/>
  <c r="I53" i="3" s="1"/>
  <c r="G52" i="3"/>
  <c r="H52" i="3" s="1"/>
  <c r="G51" i="3"/>
  <c r="G50" i="3"/>
  <c r="I50" i="3" s="1"/>
  <c r="G49" i="3"/>
  <c r="G48" i="3"/>
  <c r="I48" i="3" s="1"/>
  <c r="G47" i="3"/>
  <c r="I47" i="3" s="1"/>
  <c r="G46" i="3"/>
  <c r="I46" i="3" s="1"/>
  <c r="G45" i="3"/>
  <c r="I45" i="3" s="1"/>
  <c r="G44" i="3"/>
  <c r="H44" i="3" s="1"/>
  <c r="G43" i="3"/>
  <c r="I43" i="3" s="1"/>
  <c r="G42" i="3"/>
  <c r="I42" i="3" s="1"/>
  <c r="G41" i="3"/>
  <c r="H41" i="3" s="1"/>
  <c r="G40" i="3"/>
  <c r="I40" i="3" s="1"/>
  <c r="G39" i="3"/>
  <c r="I39" i="3" s="1"/>
  <c r="G38" i="3"/>
  <c r="I38" i="3" s="1"/>
  <c r="G37" i="3"/>
  <c r="I37" i="3" s="1"/>
  <c r="G36" i="3"/>
  <c r="I36" i="3" s="1"/>
  <c r="G35" i="3"/>
  <c r="I35" i="3" s="1"/>
  <c r="G34" i="3"/>
  <c r="I34" i="3" s="1"/>
  <c r="G33" i="3"/>
  <c r="I33" i="3" s="1"/>
  <c r="G32" i="3"/>
  <c r="I32" i="3" s="1"/>
  <c r="G31" i="3"/>
  <c r="I31" i="3" s="1"/>
  <c r="G30" i="3"/>
  <c r="H30" i="3" s="1"/>
  <c r="G29" i="3"/>
  <c r="I29" i="3" s="1"/>
  <c r="G28" i="3"/>
  <c r="I28" i="3" s="1"/>
  <c r="G27" i="3"/>
  <c r="G26" i="3"/>
  <c r="I26" i="3" s="1"/>
  <c r="G25" i="3"/>
  <c r="I25" i="3" s="1"/>
  <c r="G24" i="3"/>
  <c r="I24" i="3" s="1"/>
  <c r="G23" i="3"/>
  <c r="I23" i="3" s="1"/>
  <c r="G22" i="3"/>
  <c r="H22" i="3" s="1"/>
  <c r="G21" i="3"/>
  <c r="I21" i="3" s="1"/>
  <c r="G20" i="3"/>
  <c r="I20" i="3" s="1"/>
  <c r="G19" i="3"/>
  <c r="H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H13" i="3" s="1"/>
  <c r="G12" i="3"/>
  <c r="I12" i="3" s="1"/>
  <c r="G11" i="3"/>
  <c r="I11" i="3" s="1"/>
  <c r="G10" i="3"/>
  <c r="I10" i="3" s="1"/>
  <c r="G9" i="3"/>
  <c r="I9" i="3" s="1"/>
  <c r="G8" i="3"/>
  <c r="I8" i="3" s="1"/>
  <c r="G7" i="3"/>
  <c r="I7" i="3" s="1"/>
  <c r="G6" i="3"/>
  <c r="I6" i="3" s="1"/>
  <c r="G5" i="3"/>
  <c r="G4" i="3"/>
  <c r="I13" i="3" l="1"/>
  <c r="C6" i="4"/>
  <c r="D6" i="4" s="1"/>
  <c r="H34" i="3"/>
  <c r="H35" i="3"/>
  <c r="I41" i="3"/>
  <c r="E4" i="4"/>
  <c r="I63" i="3"/>
  <c r="H12" i="3"/>
  <c r="E5" i="4"/>
  <c r="I19" i="3"/>
  <c r="E6" i="4"/>
  <c r="C8" i="4"/>
  <c r="D8" i="4" s="1"/>
  <c r="E7" i="4"/>
  <c r="E3" i="4"/>
  <c r="H5" i="3"/>
  <c r="C3" i="4"/>
  <c r="D3" i="4" s="1"/>
  <c r="E8" i="4"/>
  <c r="I5" i="3"/>
  <c r="H20" i="3"/>
  <c r="I27" i="3"/>
  <c r="H42" i="3"/>
  <c r="I49" i="3"/>
  <c r="H64" i="3"/>
  <c r="H27" i="3"/>
  <c r="H49" i="3"/>
  <c r="H6" i="3"/>
  <c r="H28" i="3"/>
  <c r="H50" i="3"/>
  <c r="I22" i="3"/>
  <c r="H37" i="3"/>
  <c r="I44" i="3"/>
  <c r="H59" i="3"/>
  <c r="I66" i="3"/>
  <c r="H8" i="3"/>
  <c r="H23" i="3"/>
  <c r="I30" i="3"/>
  <c r="H45" i="3"/>
  <c r="I52" i="3"/>
  <c r="H67" i="3"/>
  <c r="H21" i="3"/>
  <c r="H43" i="3"/>
  <c r="H65" i="3"/>
  <c r="C4" i="4"/>
  <c r="D4" i="4" s="1"/>
  <c r="H14" i="3"/>
  <c r="H36" i="3"/>
  <c r="H58" i="3"/>
  <c r="H7" i="3"/>
  <c r="H29" i="3"/>
  <c r="H51" i="3"/>
  <c r="I51" i="3"/>
  <c r="H15" i="3"/>
  <c r="C5" i="4"/>
  <c r="D5" i="4" s="1"/>
  <c r="I59" i="3"/>
  <c r="H16" i="3"/>
  <c r="H38" i="3"/>
  <c r="H60" i="3"/>
  <c r="H9" i="3"/>
  <c r="H31" i="3"/>
  <c r="H53" i="3"/>
  <c r="H24" i="3"/>
  <c r="H46" i="3"/>
  <c r="H68" i="3"/>
  <c r="H17" i="3"/>
  <c r="H39" i="3"/>
  <c r="H61" i="3"/>
  <c r="H10" i="3"/>
  <c r="H32" i="3"/>
  <c r="H54" i="3"/>
  <c r="H25" i="3"/>
  <c r="H47" i="3"/>
  <c r="H69" i="3"/>
  <c r="H18" i="3"/>
  <c r="H40" i="3"/>
  <c r="H62" i="3"/>
  <c r="H11" i="3"/>
  <c r="H33" i="3"/>
  <c r="H55" i="3"/>
  <c r="H4" i="3"/>
  <c r="H26" i="3"/>
  <c r="H48" i="3"/>
  <c r="H70" i="3"/>
  <c r="I4" i="3"/>
</calcChain>
</file>

<file path=xl/sharedStrings.xml><?xml version="1.0" encoding="utf-8"?>
<sst xmlns="http://schemas.openxmlformats.org/spreadsheetml/2006/main" count="277" uniqueCount="150">
  <si>
    <t xml:space="preserve">  📂  WHAT'S INSIDE</t>
  </si>
  <si>
    <t>1. Monthly Study Plan</t>
  </si>
  <si>
    <t>2. Syllabus Tracker</t>
  </si>
  <si>
    <t>Every CET topic with Priority, Month Assigned, Questions to Solve, Done count, Progress bar and Status.</t>
  </si>
  <si>
    <t>3. Progress Dashboard</t>
  </si>
  <si>
    <t xml:space="preserve">  ✅  HOW TO USE THIS PLANNER</t>
  </si>
  <si>
    <t>Open the Syllabus Tracker tab. Each time you finish questions on a topic, type the count in the 'Done ✏️' column. The progress bar and status update automatically.</t>
  </si>
  <si>
    <t>Visit the Progress Dashboard every week. If any section is behind schedule, reallocate time before moving to the next month's topics.</t>
  </si>
  <si>
    <t>Month</t>
  </si>
  <si>
    <t>Phase</t>
  </si>
  <si>
    <t>Focus Topics</t>
  </si>
  <si>
    <t>Goal for the Month</t>
  </si>
  <si>
    <t>Jul 2026</t>
  </si>
  <si>
    <t>Foundation (cont.)</t>
  </si>
  <si>
    <t>QA: Percentages, Averages, Ratio &amp; Proportion
LR: Directions, Family Tree
Verbal: Grammar Basics
DI: DI FIB</t>
  </si>
  <si>
    <t>Aug 2026</t>
  </si>
  <si>
    <t>QA: Surds &amp; Indices, Clocks &amp; Calendars
LR: Alphanumeric Series, Input Output
Verbal: Sentence Correction</t>
  </si>
  <si>
    <t>Finish foundation tier before moving to full puzzle sets.</t>
  </si>
  <si>
    <t>Sep 2026</t>
  </si>
  <si>
    <t>Core Build</t>
  </si>
  <si>
    <t>LR: Circular, Tabular, Linear &amp; Mixed Puzzles (all 4 types)
QA: Partnerships &amp; Mixtures, Profit &amp; Loss</t>
  </si>
  <si>
    <t>Oct 2026</t>
  </si>
  <si>
    <t>Core Build (cont.)</t>
  </si>
  <si>
    <t>QA: Linear Equations, LCM &amp; HCF, Time Speed Distance, Time &amp; Work, SI &amp; CI
Abstract: Odd Man Out, Series, Paper Folding/Cutting</t>
  </si>
  <si>
    <t>Nov 2026</t>
  </si>
  <si>
    <t>Compulsory Wrap-up</t>
  </si>
  <si>
    <t>QA: Geometry &amp; Mensuration, Problems on Ages, Number System, Quadratic Equations
Abstract: Mirror &amp; Water Images
DI: Visuals, Tabular</t>
  </si>
  <si>
    <t>Close out every compulsory QA and Abstract topic.</t>
  </si>
  <si>
    <t>Dec 2026</t>
  </si>
  <si>
    <t>Compulsory Wrap-up (cont.)</t>
  </si>
  <si>
    <t>LR: Cause &amp; Effect, Course of Action, Inference, Conclusion, Assumptions, Grouping
Verbal: Parajumbles, Sentence Completion, RC</t>
  </si>
  <si>
    <t>All compulsory topics across sections should be done by month-end.</t>
  </si>
  <si>
    <t>Jan 2027</t>
  </si>
  <si>
    <t>Revision + Weak-Area Audit</t>
  </si>
  <si>
    <t>Re-attempt every compulsory topic once
Optional topics if time allows: Coding-Decoding, Syllogisms, Number Series, Vocab+Cloze</t>
  </si>
  <si>
    <t>Flag weak zones. Start first sectional tests.</t>
  </si>
  <si>
    <t>Feb 2027</t>
  </si>
  <si>
    <t>Mock-Intensive</t>
  </si>
  <si>
    <t>2–3 full-length mocks per week
Error-log review
Slot-wise practice for normalization awareness</t>
  </si>
  <si>
    <t>No new topics. Mocks + error analysis only.</t>
  </si>
  <si>
    <t>Mar–Apr 2027</t>
  </si>
  <si>
    <t>Final Revision</t>
  </si>
  <si>
    <t>Only revision • Timed sectionals • Formula &amp; shortcut recall • Mental conditioning</t>
  </si>
  <si>
    <t>Zero new topics. Protect confidence and speed.</t>
  </si>
  <si>
    <t>Section</t>
  </si>
  <si>
    <t>Topic</t>
  </si>
  <si>
    <t>Priority</t>
  </si>
  <si>
    <t>Done ✏️</t>
  </si>
  <si>
    <t>% Done</t>
  </si>
  <si>
    <t>Progress</t>
  </si>
  <si>
    <t>Status</t>
  </si>
  <si>
    <t>Notes</t>
  </si>
  <si>
    <t>Logical Reasoning</t>
  </si>
  <si>
    <t>Circular Puzzles</t>
  </si>
  <si>
    <t>Tabular Puzzles</t>
  </si>
  <si>
    <t>Linear Puzzles</t>
  </si>
  <si>
    <t>Mixed Puzzles</t>
  </si>
  <si>
    <t>Directions</t>
  </si>
  <si>
    <t>Family Tree</t>
  </si>
  <si>
    <t>Coding Decoding</t>
  </si>
  <si>
    <t>Coded Inequalities</t>
  </si>
  <si>
    <t>Syllogisms</t>
  </si>
  <si>
    <t>Alphanumeric Series</t>
  </si>
  <si>
    <t>Input Output</t>
  </si>
  <si>
    <t>Cause &amp; Effect</t>
  </si>
  <si>
    <t>Course of Action</t>
  </si>
  <si>
    <t>Strong &amp; Weak Arguments</t>
  </si>
  <si>
    <t>Inference</t>
  </si>
  <si>
    <t>Conclusion</t>
  </si>
  <si>
    <t>Assumptions</t>
  </si>
  <si>
    <t>Grouping</t>
  </si>
  <si>
    <t>Data Sufficiency LR</t>
  </si>
  <si>
    <t>4 Variable Venn Diagrams</t>
  </si>
  <si>
    <t>Quantitative Aptitude</t>
  </si>
  <si>
    <t>Percentages</t>
  </si>
  <si>
    <t>Averages</t>
  </si>
  <si>
    <t>Ratio &amp; Proportion</t>
  </si>
  <si>
    <t>Partnerships &amp; Mixtures</t>
  </si>
  <si>
    <t>Profit &amp; Loss</t>
  </si>
  <si>
    <t>Linear Equations</t>
  </si>
  <si>
    <t>LCM &amp; HCF</t>
  </si>
  <si>
    <t>Time Speed Distance</t>
  </si>
  <si>
    <t>Time and Work</t>
  </si>
  <si>
    <t>SI &amp; CI</t>
  </si>
  <si>
    <t>Geometry &amp; Mensuration</t>
  </si>
  <si>
    <t>Algebra</t>
  </si>
  <si>
    <t>Number Series</t>
  </si>
  <si>
    <t>Problems on Ages</t>
  </si>
  <si>
    <t>Probability</t>
  </si>
  <si>
    <t>Number System</t>
  </si>
  <si>
    <t>Surds &amp; Indices</t>
  </si>
  <si>
    <t>Quadratic Equations</t>
  </si>
  <si>
    <t>Data Sufficiency</t>
  </si>
  <si>
    <t>Clocks &amp; Calendars</t>
  </si>
  <si>
    <t>Cube Cutting</t>
  </si>
  <si>
    <t>Circular Races</t>
  </si>
  <si>
    <t>Logarithms</t>
  </si>
  <si>
    <t>Trigonometry</t>
  </si>
  <si>
    <t>Coordinate Geometry</t>
  </si>
  <si>
    <t>GP &amp; HP</t>
  </si>
  <si>
    <t>DI</t>
  </si>
  <si>
    <t>DI FIB</t>
  </si>
  <si>
    <t>DI Visuals</t>
  </si>
  <si>
    <t>DI Tabular</t>
  </si>
  <si>
    <t>Abstract</t>
  </si>
  <si>
    <t>Odd Man Out</t>
  </si>
  <si>
    <t>Series</t>
  </si>
  <si>
    <t>Miscellaneous</t>
  </si>
  <si>
    <t>Paper Folding</t>
  </si>
  <si>
    <t>Paper Cutting</t>
  </si>
  <si>
    <t>Embedded Figure</t>
  </si>
  <si>
    <t>Mirror Images</t>
  </si>
  <si>
    <t>Water Images</t>
  </si>
  <si>
    <t>Verbal Ability &amp; RC</t>
  </si>
  <si>
    <t>Grammar Basics</t>
  </si>
  <si>
    <t>Sentence Correction</t>
  </si>
  <si>
    <t>Parajumbles</t>
  </si>
  <si>
    <t>RC</t>
  </si>
  <si>
    <t>Sentence Completion</t>
  </si>
  <si>
    <t>Vocab + Cloze Test</t>
  </si>
  <si>
    <t>Probable Starters</t>
  </si>
  <si>
    <t>Sentence Connectors</t>
  </si>
  <si>
    <t>Summary</t>
  </si>
  <si>
    <t>Fact Inference Judgement</t>
  </si>
  <si>
    <t>Total Topics</t>
  </si>
  <si>
    <t>% Complete</t>
  </si>
  <si>
    <t>Topics Done</t>
  </si>
  <si>
    <t>🎯  OVERALL</t>
  </si>
  <si>
    <t>📘  Crack Every Test - CET 2027 Study Planner</t>
  </si>
  <si>
    <t>Month-by-month topic roadmap, July 2026 → April 2027. Follow the sequence - it's ordered by priority, not textbook order.</t>
  </si>
  <si>
    <t>Auto-calculated completion % by section - updates live as you fill in Done counts.</t>
  </si>
  <si>
    <t>Step 1 - Syllabus Tracker</t>
  </si>
  <si>
    <t>Step 2 - Monthly Plan</t>
  </si>
  <si>
    <t>Follow the Monthly Study Plan tab in sequence. Do not jump ahead - topics are ordered by dependency, not alphabetically.</t>
  </si>
  <si>
    <t>Step 3 - Dashboard Check-in</t>
  </si>
  <si>
    <t>Step 4 - Priority Rules</t>
  </si>
  <si>
    <t>📅  CET 2027 - Monthly Study Plan  (July 2026 → April 2027)</t>
  </si>
  <si>
    <t>Build the base - every other QA/DI topic leans on these.</t>
  </si>
  <si>
    <t>Puzzles carry the heaviest weightage - give this a full month.</t>
  </si>
  <si>
    <t>Start Abstract in full - the entire section is compulsory.</t>
  </si>
  <si>
    <t>📊  Syllabus Tracker - Fill in the 'Done ✏️' column as you complete questions</t>
  </si>
  <si>
    <t>🟢 Compulsory</t>
  </si>
  <si>
    <t>⚪ Optional</t>
  </si>
  <si>
    <r>
      <t xml:space="preserve">💡  Fill the yellow 'Done ✏️' cells only. Everything else updates automatically.   Colors:  </t>
    </r>
    <r>
      <rPr>
        <b/>
        <sz val="13"/>
        <color rgb="FFFF0000"/>
        <rFont val="Arial"/>
        <family val="2"/>
      </rPr>
      <t>🔴</t>
    </r>
    <r>
      <rPr>
        <b/>
        <sz val="13"/>
        <color rgb="FFFFFFFF"/>
        <rFont val="Arial"/>
        <charset val="1"/>
      </rPr>
      <t xml:space="preserve"> 0%  →  </t>
    </r>
    <r>
      <rPr>
        <b/>
        <sz val="13"/>
        <color rgb="FFFFFF00"/>
        <rFont val="Arial"/>
        <family val="2"/>
      </rPr>
      <t>🟡</t>
    </r>
    <r>
      <rPr>
        <b/>
        <sz val="13"/>
        <color rgb="FFFFFFFF"/>
        <rFont val="Arial"/>
        <charset val="1"/>
      </rPr>
      <t xml:space="preserve"> 50%  →  </t>
    </r>
    <r>
      <rPr>
        <b/>
        <sz val="13"/>
        <color theme="6"/>
        <rFont val="Arial"/>
        <family val="2"/>
      </rPr>
      <t>🟢</t>
    </r>
    <r>
      <rPr>
        <b/>
        <sz val="13"/>
        <color rgb="FFFFFFFF"/>
        <rFont val="Arial"/>
        <charset val="1"/>
      </rPr>
      <t xml:space="preserve"> 100%</t>
    </r>
  </si>
  <si>
    <t>DEADLINE</t>
  </si>
  <si>
    <t>Target No of Qs</t>
  </si>
  <si>
    <t>📈  Progress Dashboard - Auto-updates from Syllabus Tracker</t>
  </si>
  <si>
    <t>Compulsory topics (🟢) are non-negotiable for 99%ile. Optional topics (⚪) only if you have bandwidth after completing all compulsory ones.</t>
  </si>
  <si>
    <t>📞 For Counselling: +91 7977041874   |   🔗 crackeverytest.com/popular-courses</t>
  </si>
  <si>
    <t>Your complete month-by-month roadmap to CET 99.99th%ile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</si>
</sst>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B2A4A"/>
      <name val="Arial"/>
      <charset val="1"/>
    </font>
    <font>
      <sz val="10"/>
      <color rgb="FF333333"/>
      <name val="Arial"/>
      <charset val="1"/>
    </font>
    <font>
      <b/>
      <sz val="14"/>
      <color rgb="FFFFFFFF"/>
      <name val="Arial"/>
      <charset val="1"/>
    </font>
    <font>
      <b/>
      <sz val="10"/>
      <color rgb="FF1565C0"/>
      <name val="Arial"/>
      <charset val="1"/>
    </font>
    <font>
      <sz val="10"/>
      <color rgb="FF222222"/>
      <name val="Arial"/>
      <charset val="1"/>
    </font>
    <font>
      <i/>
      <sz val="10"/>
      <color rgb="FF444444"/>
      <name val="Arial"/>
      <charset val="1"/>
    </font>
    <font>
      <b/>
      <sz val="10"/>
      <color rgb="FF2E7D32"/>
      <name val="Arial"/>
      <charset val="1"/>
    </font>
    <font>
      <b/>
      <sz val="10"/>
      <color rgb="FFE65100"/>
      <name val="Arial"/>
      <charset val="1"/>
    </font>
    <font>
      <b/>
      <sz val="10"/>
      <color rgb="FF6A1B9A"/>
      <name val="Arial"/>
      <charset val="1"/>
    </font>
    <font>
      <b/>
      <sz val="10"/>
      <color rgb="FFAD1457"/>
      <name val="Arial"/>
      <charset val="1"/>
    </font>
    <font>
      <b/>
      <sz val="10"/>
      <color rgb="FF37474F"/>
      <name val="Arial"/>
      <charset val="1"/>
    </font>
    <font>
      <b/>
      <sz val="13"/>
      <color rgb="FFFFFFFF"/>
      <name val="Arial"/>
      <charset val="1"/>
    </font>
    <font>
      <sz val="10"/>
      <color rgb="FF1B2A4A"/>
      <name val="Arial"/>
      <charset val="1"/>
    </font>
    <font>
      <b/>
      <sz val="11"/>
      <color rgb="FF1B2A4A"/>
      <name val="Arial"/>
      <charset val="1"/>
    </font>
    <font>
      <sz val="10"/>
      <color rgb="FF757575"/>
      <name val="Arial"/>
      <charset val="1"/>
    </font>
    <font>
      <i/>
      <sz val="9"/>
      <color rgb="FF777777"/>
      <name val="Arial"/>
      <charset val="1"/>
    </font>
    <font>
      <b/>
      <sz val="11"/>
      <color rgb="FFFFFFFF"/>
      <name val="Arial"/>
      <charset val="1"/>
    </font>
    <font>
      <b/>
      <sz val="13"/>
      <color rgb="FFFF0000"/>
      <name val="Arial"/>
      <family val="2"/>
    </font>
    <font>
      <b/>
      <sz val="10"/>
      <color rgb="FF1B2A4A"/>
      <name val="Arial"/>
      <family val="2"/>
    </font>
    <font>
      <b/>
      <sz val="13"/>
      <color rgb="FFFFFF00"/>
      <name val="Arial"/>
      <family val="2"/>
    </font>
    <font>
      <b/>
      <sz val="13"/>
      <color theme="6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B2A4A"/>
      <name val="Arial"/>
      <family val="2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333333"/>
      <name val="Arial"/>
      <family val="2"/>
    </font>
    <font>
      <b/>
      <i/>
      <sz val="12"/>
      <color rgb="FF888888"/>
      <name val="Arial"/>
      <family val="2"/>
    </font>
    <font>
      <b/>
      <i/>
      <sz val="11"/>
      <color rgb="FFAAAAAA"/>
      <name val="Arial"/>
      <family val="2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F5F7FC"/>
        <bgColor rgb="FFF0F4FB"/>
      </patternFill>
    </fill>
    <fill>
      <patternFill patternType="solid">
        <fgColor rgb="FF2C3E6B"/>
        <bgColor rgb="FF37474F"/>
      </patternFill>
    </fill>
    <fill>
      <patternFill patternType="solid">
        <fgColor rgb="FFFFFFFF"/>
        <bgColor rgb="FFFFFDE7"/>
      </patternFill>
    </fill>
    <fill>
      <patternFill patternType="solid">
        <fgColor rgb="FFEAF0FB"/>
        <bgColor rgb="FFECEFF1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AF0FB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CEFF1"/>
      </patternFill>
    </fill>
    <fill>
      <patternFill patternType="solid">
        <fgColor rgb="FFE65100"/>
        <bgColor rgb="FF993300"/>
      </patternFill>
    </fill>
    <fill>
      <patternFill patternType="solid">
        <fgColor rgb="FFFFF3E0"/>
        <bgColor rgb="FFFFFDE7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AD1457"/>
        <bgColor rgb="FF800080"/>
      </patternFill>
    </fill>
    <fill>
      <patternFill patternType="solid">
        <fgColor rgb="FFFCE4EC"/>
        <bgColor rgb="FFF3E5F5"/>
      </patternFill>
    </fill>
    <fill>
      <patternFill patternType="solid">
        <fgColor rgb="FF37474F"/>
        <bgColor rgb="FF444444"/>
      </patternFill>
    </fill>
    <fill>
      <patternFill patternType="solid">
        <fgColor rgb="FFECEFF1"/>
        <bgColor rgb="FFEAF0FB"/>
      </patternFill>
    </fill>
    <fill>
      <patternFill patternType="solid">
        <fgColor rgb="FFFFFDE7"/>
        <bgColor rgb="FFFFF3E0"/>
      </patternFill>
    </fill>
    <fill>
      <patternFill patternType="solid">
        <fgColor rgb="FFF0F4FB"/>
        <bgColor rgb="FFF5F7FC"/>
      </patternFill>
    </fill>
  </fills>
  <borders count="25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ck">
        <color rgb="FF1565C0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medium">
        <color rgb="FFFBC02D"/>
      </left>
      <right style="medium">
        <color rgb="FFFBC02D"/>
      </right>
      <top style="medium">
        <color rgb="FFFBC02D"/>
      </top>
      <bottom style="medium">
        <color rgb="FFFBC02D"/>
      </bottom>
      <diagonal/>
    </border>
    <border>
      <left style="thick">
        <color rgb="FF2E7D32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ck">
        <color rgb="FFE65100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ck">
        <color rgb="FF6A1B9A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ck">
        <color rgb="FFAD1457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ck">
        <color rgb="FFE65100"/>
      </left>
      <right style="thin">
        <color rgb="FFD0D7E8"/>
      </right>
      <top style="thin">
        <color rgb="FFD0D7E8"/>
      </top>
      <bottom/>
      <diagonal/>
    </border>
    <border>
      <left style="thick">
        <color rgb="FFE65100"/>
      </left>
      <right style="thin">
        <color rgb="FFD0D7E8"/>
      </right>
      <top/>
      <bottom/>
      <diagonal/>
    </border>
    <border>
      <left style="thick">
        <color rgb="FFE65100"/>
      </left>
      <right style="thin">
        <color rgb="FFD0D7E8"/>
      </right>
      <top/>
      <bottom style="thin">
        <color rgb="FFD0D7E8"/>
      </bottom>
      <diagonal/>
    </border>
    <border>
      <left style="thick">
        <color rgb="FF2E7D32"/>
      </left>
      <right style="thin">
        <color rgb="FFD0D7E8"/>
      </right>
      <top style="thin">
        <color rgb="FFD0D7E8"/>
      </top>
      <bottom/>
      <diagonal/>
    </border>
    <border>
      <left style="thick">
        <color rgb="FF2E7D32"/>
      </left>
      <right style="thin">
        <color rgb="FFD0D7E8"/>
      </right>
      <top/>
      <bottom/>
      <diagonal/>
    </border>
    <border>
      <left style="thick">
        <color rgb="FF2E7D32"/>
      </left>
      <right style="thin">
        <color rgb="FFD0D7E8"/>
      </right>
      <top/>
      <bottom style="thin">
        <color rgb="FFD0D7E8"/>
      </bottom>
      <diagonal/>
    </border>
    <border>
      <left style="thick">
        <color rgb="FF1565C0"/>
      </left>
      <right style="thin">
        <color rgb="FFD0D7E8"/>
      </right>
      <top style="thin">
        <color rgb="FFD0D7E8"/>
      </top>
      <bottom/>
      <diagonal/>
    </border>
    <border>
      <left style="thick">
        <color rgb="FF1565C0"/>
      </left>
      <right style="thin">
        <color rgb="FFD0D7E8"/>
      </right>
      <top/>
      <bottom/>
      <diagonal/>
    </border>
    <border>
      <left style="thick">
        <color rgb="FF1565C0"/>
      </left>
      <right style="thin">
        <color rgb="FFD0D7E8"/>
      </right>
      <top/>
      <bottom style="thin">
        <color rgb="FFD0D7E8"/>
      </bottom>
      <diagonal/>
    </border>
    <border>
      <left style="thick">
        <color rgb="FF6A1B9A"/>
      </left>
      <right style="thin">
        <color rgb="FFD0D7E8"/>
      </right>
      <top style="thin">
        <color rgb="FFD0D7E8"/>
      </top>
      <bottom/>
      <diagonal/>
    </border>
    <border>
      <left style="thick">
        <color rgb="FF6A1B9A"/>
      </left>
      <right style="thin">
        <color rgb="FFD0D7E8"/>
      </right>
      <top/>
      <bottom/>
      <diagonal/>
    </border>
    <border>
      <left style="thick">
        <color rgb="FF6A1B9A"/>
      </left>
      <right style="thin">
        <color rgb="FFD0D7E8"/>
      </right>
      <top/>
      <bottom style="thin">
        <color rgb="FFD0D7E8"/>
      </bottom>
      <diagonal/>
    </border>
    <border>
      <left style="thick">
        <color rgb="FFAD1457"/>
      </left>
      <right style="thin">
        <color rgb="FFD0D7E8"/>
      </right>
      <top style="thin">
        <color rgb="FFD0D7E8"/>
      </top>
      <bottom/>
      <diagonal/>
    </border>
    <border>
      <left style="thick">
        <color rgb="FFAD1457"/>
      </left>
      <right style="thin">
        <color rgb="FFD0D7E8"/>
      </right>
      <top/>
      <bottom/>
      <diagonal/>
    </border>
    <border>
      <left style="thick">
        <color rgb="FFAD1457"/>
      </left>
      <right style="thin">
        <color rgb="FFD0D7E8"/>
      </right>
      <top/>
      <bottom style="thin">
        <color rgb="FFD0D7E8"/>
      </bottom>
      <diagonal/>
    </border>
    <border>
      <left/>
      <right/>
      <top/>
      <bottom style="thin">
        <color rgb="FFD0D7E8"/>
      </bottom>
      <diagonal/>
    </border>
    <border>
      <left/>
      <right/>
      <top style="thin">
        <color rgb="FFD0D7E8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 indent="1"/>
    </xf>
    <xf numFmtId="0" fontId="8" fillId="10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left" vertical="center" wrapText="1" indent="1"/>
    </xf>
    <xf numFmtId="0" fontId="2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left" vertical="center" wrapText="1" indent="1"/>
    </xf>
    <xf numFmtId="0" fontId="2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 indent="1"/>
    </xf>
    <xf numFmtId="0" fontId="8" fillId="16" borderId="1" xfId="0" applyFont="1" applyFill="1" applyBorder="1" applyAlignment="1">
      <alignment horizontal="left" vertical="center" wrapText="1" indent="1"/>
    </xf>
    <xf numFmtId="0" fontId="2" fillId="17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 indent="1"/>
    </xf>
    <xf numFmtId="0" fontId="8" fillId="18" borderId="1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inden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5" fillId="20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9" fontId="3" fillId="20" borderId="1" xfId="0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12" fillId="5" borderId="7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left" vertical="center" indent="1"/>
    </xf>
    <xf numFmtId="0" fontId="15" fillId="6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left" vertical="center" indent="1"/>
    </xf>
    <xf numFmtId="0" fontId="19" fillId="4" borderId="1" xfId="0" applyFont="1" applyFill="1" applyBorder="1" applyAlignment="1">
      <alignment horizontal="left" vertical="center" indent="1"/>
    </xf>
    <xf numFmtId="0" fontId="19" fillId="4" borderId="1" xfId="0" applyFont="1" applyFill="1" applyBorder="1" applyAlignment="1">
      <alignment horizontal="center" vertical="center"/>
    </xf>
    <xf numFmtId="9" fontId="19" fillId="4" borderId="1" xfId="0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11" fillId="20" borderId="17" xfId="0" applyFont="1" applyFill="1" applyBorder="1" applyAlignment="1">
      <alignment horizontal="center" vertical="center"/>
    </xf>
    <xf numFmtId="0" fontId="11" fillId="20" borderId="18" xfId="0" applyFont="1" applyFill="1" applyBorder="1" applyAlignment="1">
      <alignment horizontal="center" vertical="center"/>
    </xf>
    <xf numFmtId="0" fontId="11" fillId="20" borderId="19" xfId="0" applyFont="1" applyFill="1" applyBorder="1" applyAlignment="1">
      <alignment horizontal="center" vertical="center"/>
    </xf>
    <xf numFmtId="0" fontId="12" fillId="20" borderId="20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12" fillId="20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 applyProtection="1">
      <alignment horizontal="center" vertical="center"/>
      <protection locked="0"/>
    </xf>
    <xf numFmtId="17" fontId="26" fillId="5" borderId="1" xfId="0" applyNumberFormat="1" applyFont="1" applyFill="1" applyBorder="1" applyAlignment="1">
      <alignment horizontal="center" vertical="center"/>
    </xf>
    <xf numFmtId="17" fontId="15" fillId="5" borderId="1" xfId="0" applyNumberFormat="1" applyFont="1" applyFill="1" applyBorder="1" applyAlignment="1">
      <alignment horizontal="center" vertical="center"/>
    </xf>
    <xf numFmtId="0" fontId="18" fillId="0" borderId="0" xfId="0" applyFont="1" applyAlignment="1"/>
    <xf numFmtId="0" fontId="27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1" fillId="6" borderId="1" xfId="0" applyFont="1" applyFill="1" applyBorder="1" applyAlignment="1">
      <alignment horizontal="left" vertical="center" indent="1"/>
    </xf>
    <xf numFmtId="0" fontId="29" fillId="5" borderId="1" xfId="0" applyFont="1" applyFill="1" applyBorder="1" applyAlignment="1">
      <alignment horizontal="left" vertical="center" wrapText="1" indent="1"/>
    </xf>
    <xf numFmtId="0" fontId="30" fillId="0" borderId="2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9" fontId="32" fillId="5" borderId="1" xfId="0" applyNumberFormat="1" applyFont="1" applyFill="1" applyBorder="1" applyAlignment="1">
      <alignment horizontal="center" vertical="center"/>
    </xf>
    <xf numFmtId="9" fontId="32" fillId="20" borderId="1" xfId="0" applyNumberFormat="1" applyFont="1" applyFill="1" applyBorder="1" applyAlignment="1">
      <alignment horizontal="center" vertical="center"/>
    </xf>
    <xf numFmtId="9" fontId="3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6A1B9A"/>
      <rgbColor rgb="FF008080"/>
      <rgbColor rgb="FFF3E5F5"/>
      <rgbColor rgb="FF888888"/>
      <rgbColor rgb="FF9999FF"/>
      <rgbColor rgb="FFAD1457"/>
      <rgbColor rgb="FFFFFDE7"/>
      <rgbColor rgb="FFE3F2FD"/>
      <rgbColor rgb="FF660066"/>
      <rgbColor rgb="FFFF8080"/>
      <rgbColor rgb="FF1565C0"/>
      <rgbColor rgb="FFD0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EAF0FB"/>
      <rgbColor rgb="FFF0F4FB"/>
      <rgbColor rgb="FFF5F7FC"/>
      <rgbColor rgb="FFFCE4EC"/>
      <rgbColor rgb="FF3366FF"/>
      <rgbColor rgb="FF33CCCC"/>
      <rgbColor rgb="FF99CC00"/>
      <rgbColor rgb="FFFBC02D"/>
      <rgbColor rgb="FFFF9900"/>
      <rgbColor rgb="FFE65100"/>
      <rgbColor rgb="FF757575"/>
      <rgbColor rgb="FFAAAAAA"/>
      <rgbColor rgb="FF1B2A4A"/>
      <rgbColor rgb="FF2E7D32"/>
      <rgbColor rgb="FF37474F"/>
      <rgbColor rgb="FF222222"/>
      <rgbColor rgb="FF993300"/>
      <rgbColor rgb="FF444444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1347567</xdr:colOff>
      <xdr:row>12</xdr:row>
      <xdr:rowOff>190463</xdr:rowOff>
    </xdr:from>
    <xdr:to>
      <xdr:col>2</xdr:col>
      <xdr:colOff>3340852</xdr:colOff>
      <xdr:row>15</xdr:row>
      <xdr:rowOff>433429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3A1EB-D5C7-4BC2-9659-CCD37C77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6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853" y="4030151"/>
          <a:ext cx="1993285" cy="1994577"/>
        </a:xfrm>
        <a:prstGeom prst="rect">
          <a:avLst/>
        </a:prstGeom>
      </xdr:spPr>
    </xdr:pic>
    <xdr:clientData/>
  </xdr:twoCellAnchor>
  <xdr:twoCellAnchor editAs="oneCell">
    <xdr:from>
      <xdr:col>2</xdr:col>
      <xdr:colOff>1347567</xdr:colOff>
      <xdr:row>4</xdr:row>
      <xdr:rowOff>249839</xdr:rowOff>
    </xdr:from>
    <xdr:to>
      <xdr:col>2</xdr:col>
      <xdr:colOff>3340852</xdr:colOff>
      <xdr:row>11</xdr:row>
      <xdr:rowOff>57377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551BF2-31DB-032F-32E5-985341DD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6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853" y="1328514"/>
          <a:ext cx="1993285" cy="19945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912734</xdr:colOff>
      <xdr:row>6</xdr:row>
      <xdr:rowOff>95756</xdr:rowOff>
    </xdr:from>
    <xdr:to>
      <xdr:col>4</xdr:col>
      <xdr:colOff>62665</xdr:colOff>
      <xdr:row>15</xdr:row>
      <xdr:rowOff>272816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418889-4F05-CBDB-7AD0-34F44363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879" y="2257065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1</xdr:col>
      <xdr:colOff>912734</xdr:colOff>
      <xdr:row>21</xdr:row>
      <xdr:rowOff>151174</xdr:rowOff>
    </xdr:from>
    <xdr:to>
      <xdr:col>4</xdr:col>
      <xdr:colOff>62665</xdr:colOff>
      <xdr:row>31</xdr:row>
      <xdr:rowOff>23434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22FBF9-6B06-CFBB-5714-C7C1F486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879" y="6884483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1</xdr:col>
      <xdr:colOff>912734</xdr:colOff>
      <xdr:row>36</xdr:row>
      <xdr:rowOff>26483</xdr:rowOff>
    </xdr:from>
    <xdr:to>
      <xdr:col>4</xdr:col>
      <xdr:colOff>62665</xdr:colOff>
      <xdr:row>45</xdr:row>
      <xdr:rowOff>203543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A4DC2E-AFB5-5780-87FA-DD3FCDC1F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879" y="11331792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1</xdr:col>
      <xdr:colOff>912734</xdr:colOff>
      <xdr:row>51</xdr:row>
      <xdr:rowOff>289719</xdr:rowOff>
    </xdr:from>
    <xdr:to>
      <xdr:col>4</xdr:col>
      <xdr:colOff>62665</xdr:colOff>
      <xdr:row>61</xdr:row>
      <xdr:rowOff>161979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3552B4-3AEC-DF2E-77E5-8C7701BE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879" y="16167028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7</xdr:col>
      <xdr:colOff>1162115</xdr:colOff>
      <xdr:row>6</xdr:row>
      <xdr:rowOff>95756</xdr:rowOff>
    </xdr:from>
    <xdr:to>
      <xdr:col>9</xdr:col>
      <xdr:colOff>783101</xdr:colOff>
      <xdr:row>15</xdr:row>
      <xdr:rowOff>272816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100630-687F-8596-158E-5B2308E1C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897" y="2257065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7</xdr:col>
      <xdr:colOff>1162115</xdr:colOff>
      <xdr:row>21</xdr:row>
      <xdr:rowOff>151174</xdr:rowOff>
    </xdr:from>
    <xdr:to>
      <xdr:col>9</xdr:col>
      <xdr:colOff>783101</xdr:colOff>
      <xdr:row>31</xdr:row>
      <xdr:rowOff>23434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5A88DA-4C48-0898-4E5E-DDD2F05B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897" y="6884483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7</xdr:col>
      <xdr:colOff>1162115</xdr:colOff>
      <xdr:row>36</xdr:row>
      <xdr:rowOff>26483</xdr:rowOff>
    </xdr:from>
    <xdr:to>
      <xdr:col>9</xdr:col>
      <xdr:colOff>783101</xdr:colOff>
      <xdr:row>45</xdr:row>
      <xdr:rowOff>203543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B13AFC-83DA-579E-9BD7-C375AD8D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897" y="11331792"/>
          <a:ext cx="2918368" cy="2920260"/>
        </a:xfrm>
        <a:prstGeom prst="rect">
          <a:avLst/>
        </a:prstGeom>
      </xdr:spPr>
    </xdr:pic>
    <xdr:clientData/>
  </xdr:twoCellAnchor>
  <xdr:twoCellAnchor editAs="oneCell">
    <xdr:from>
      <xdr:col>7</xdr:col>
      <xdr:colOff>1162115</xdr:colOff>
      <xdr:row>51</xdr:row>
      <xdr:rowOff>289719</xdr:rowOff>
    </xdr:from>
    <xdr:to>
      <xdr:col>9</xdr:col>
      <xdr:colOff>783101</xdr:colOff>
      <xdr:row>61</xdr:row>
      <xdr:rowOff>161979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2ECB563-651A-E619-605B-1C3A7671E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897" y="16167028"/>
          <a:ext cx="2918368" cy="2920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1013047</xdr:colOff>
      <xdr:row>3</xdr:row>
      <xdr:rowOff>721662</xdr:rowOff>
    </xdr:from>
    <xdr:to>
      <xdr:col>3</xdr:col>
      <xdr:colOff>325904</xdr:colOff>
      <xdr:row>9</xdr:row>
      <xdr:rowOff>425216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028BF-EBFE-42D5-B94F-D94B070D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702" y="2287226"/>
          <a:ext cx="4272784" cy="42755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526540</xdr:colOff>
      <xdr:row>2</xdr:row>
      <xdr:rowOff>138820</xdr:rowOff>
    </xdr:from>
    <xdr:to>
      <xdr:col>4</xdr:col>
      <xdr:colOff>103885</xdr:colOff>
      <xdr:row>6</xdr:row>
      <xdr:rowOff>113375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E2F8A-10C5-4C07-9FFD-B9C67ED88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7020" y="946540"/>
          <a:ext cx="1497585" cy="1498555"/>
        </a:xfrm>
        <a:prstGeom prst="rect">
          <a:avLst/>
        </a:prstGeom>
      </xdr:spPr>
    </xdr:pic>
    <xdr:clientData/>
  </xdr:twoCellAnchor>
  <xdr:twoCellAnchor editAs="oneCell">
    <xdr:from>
      <xdr:col>0</xdr:col>
      <xdr:colOff>724660</xdr:colOff>
      <xdr:row>2</xdr:row>
      <xdr:rowOff>138820</xdr:rowOff>
    </xdr:from>
    <xdr:to>
      <xdr:col>1</xdr:col>
      <xdr:colOff>439165</xdr:colOff>
      <xdr:row>6</xdr:row>
      <xdr:rowOff>113375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EEF598-C9C8-44BA-947D-059D83787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660" y="946540"/>
          <a:ext cx="1497585" cy="1498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tabSelected="1" zoomScale="94" zoomScaleNormal="90" workbookViewId="0">
      <selection activeCell="H6" sqref="H6"/>
    </sheetView>
  </sheetViews>
  <sheetFormatPr defaultColWidth="8.6640625" defaultRowHeight="14.4" x14ac:dyDescent="0.3"/>
  <cols>
    <col min="2" max="2" width="32.5546875" customWidth="1"/>
    <col min="3" max="3" width="108.5546875" customWidth="1"/>
  </cols>
  <sheetData>
    <row r="2" spans="2:3" ht="39.75" customHeight="1" x14ac:dyDescent="0.3">
      <c r="B2" s="80" t="s">
        <v>128</v>
      </c>
      <c r="C2" s="4"/>
    </row>
    <row r="3" spans="2:3" ht="21.6" customHeight="1" x14ac:dyDescent="0.3">
      <c r="B3" s="85" t="s">
        <v>149</v>
      </c>
      <c r="C3" s="85"/>
    </row>
    <row r="4" spans="2:3" ht="9.75" customHeight="1" x14ac:dyDescent="0.3"/>
    <row r="5" spans="2:3" ht="25.5" customHeight="1" x14ac:dyDescent="0.3">
      <c r="B5" s="3" t="s">
        <v>0</v>
      </c>
      <c r="C5" s="3"/>
    </row>
    <row r="6" spans="2:3" ht="30" customHeight="1" x14ac:dyDescent="0.3">
      <c r="B6" s="5" t="s">
        <v>1</v>
      </c>
      <c r="C6" s="6" t="s">
        <v>129</v>
      </c>
    </row>
    <row r="7" spans="2:3" ht="30" customHeight="1" x14ac:dyDescent="0.3">
      <c r="B7" s="7" t="s">
        <v>2</v>
      </c>
      <c r="C7" s="8" t="s">
        <v>3</v>
      </c>
    </row>
    <row r="8" spans="2:3" ht="30" customHeight="1" x14ac:dyDescent="0.3">
      <c r="B8" s="5" t="s">
        <v>4</v>
      </c>
      <c r="C8" s="6" t="s">
        <v>130</v>
      </c>
    </row>
    <row r="9" spans="2:3" ht="17.399999999999999" customHeight="1" x14ac:dyDescent="0.3">
      <c r="B9" s="83" t="s">
        <v>148</v>
      </c>
      <c r="C9" s="83"/>
    </row>
    <row r="10" spans="2:3" ht="22.2" customHeight="1" x14ac:dyDescent="0.3">
      <c r="B10" s="84"/>
      <c r="C10" s="84"/>
    </row>
    <row r="11" spans="2:3" ht="17.399999999999999" customHeight="1" x14ac:dyDescent="0.3">
      <c r="B11" s="84"/>
      <c r="C11" s="84"/>
    </row>
    <row r="12" spans="2:3" ht="45" customHeight="1" x14ac:dyDescent="0.3">
      <c r="B12" s="3" t="s">
        <v>5</v>
      </c>
      <c r="C12" s="3"/>
    </row>
    <row r="13" spans="2:3" ht="46.2" customHeight="1" x14ac:dyDescent="0.3">
      <c r="B13" s="81" t="s">
        <v>131</v>
      </c>
      <c r="C13" s="8" t="s">
        <v>6</v>
      </c>
    </row>
    <row r="14" spans="2:3" ht="46.2" customHeight="1" x14ac:dyDescent="0.3">
      <c r="B14" s="5" t="s">
        <v>132</v>
      </c>
      <c r="C14" s="6" t="s">
        <v>133</v>
      </c>
    </row>
    <row r="15" spans="2:3" ht="46.2" customHeight="1" x14ac:dyDescent="0.3">
      <c r="B15" s="7" t="s">
        <v>134</v>
      </c>
      <c r="C15" s="8" t="s">
        <v>7</v>
      </c>
    </row>
    <row r="16" spans="2:3" ht="46.2" customHeight="1" x14ac:dyDescent="0.3">
      <c r="B16" s="5" t="s">
        <v>135</v>
      </c>
      <c r="C16" s="82" t="s">
        <v>147</v>
      </c>
    </row>
  </sheetData>
  <sheetProtection algorithmName="SHA-512" hashValue="b3mauQMwNNah2yg1yzLrIWm91CPfH6Ed15kPDC8nYo614yapfeeo7Eapbma1AsTfyglcSe9dcAkSqA8SYIho2A==" saltValue="tL3+KI+AKe+PHb4rWP+OMg==" spinCount="100000" sheet="1" objects="1" scenarios="1" selectLockedCells="1"/>
  <mergeCells count="5">
    <mergeCell ref="B2:C2"/>
    <mergeCell ref="B3:C3"/>
    <mergeCell ref="B5:C5"/>
    <mergeCell ref="B12:C12"/>
    <mergeCell ref="B9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"/>
  <sheetViews>
    <sheetView zoomScale="83" zoomScaleNormal="90" workbookViewId="0">
      <pane ySplit="3" topLeftCell="A23" activePane="bottomLeft" state="frozen"/>
      <selection pane="bottomLeft" activeCell="F33" sqref="F33"/>
    </sheetView>
  </sheetViews>
  <sheetFormatPr defaultColWidth="8.6640625" defaultRowHeight="14.4" x14ac:dyDescent="0.3"/>
  <cols>
    <col min="1" max="1" width="22" customWidth="1"/>
    <col min="2" max="2" width="26" customWidth="1"/>
    <col min="3" max="3" width="14.88671875" bestFit="1" customWidth="1"/>
    <col min="4" max="4" width="14" customWidth="1"/>
    <col min="5" max="5" width="16" customWidth="1"/>
    <col min="6" max="6" width="14" customWidth="1"/>
    <col min="7" max="7" width="10" customWidth="1"/>
    <col min="8" max="8" width="28" customWidth="1"/>
    <col min="9" max="9" width="20" customWidth="1"/>
    <col min="10" max="10" width="22" customWidth="1"/>
  </cols>
  <sheetData>
    <row r="1" spans="1:10" ht="33.75" customHeight="1" x14ac:dyDescent="0.3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 x14ac:dyDescent="0.3">
      <c r="A2" s="73" t="s">
        <v>143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30" customHeight="1" x14ac:dyDescent="0.3">
      <c r="A3" s="9" t="s">
        <v>44</v>
      </c>
      <c r="B3" s="9" t="s">
        <v>45</v>
      </c>
      <c r="C3" s="9" t="s">
        <v>46</v>
      </c>
      <c r="D3" s="74" t="s">
        <v>144</v>
      </c>
      <c r="E3" s="74" t="s">
        <v>145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51</v>
      </c>
    </row>
    <row r="4" spans="1:10" ht="24" customHeight="1" x14ac:dyDescent="0.3">
      <c r="A4" s="63" t="s">
        <v>52</v>
      </c>
      <c r="B4" s="35" t="s">
        <v>53</v>
      </c>
      <c r="C4" s="41" t="s">
        <v>141</v>
      </c>
      <c r="D4" s="76">
        <v>46327</v>
      </c>
      <c r="E4" s="37">
        <v>150</v>
      </c>
      <c r="F4" s="75">
        <v>0</v>
      </c>
      <c r="G4" s="38">
        <f t="shared" ref="G4:G35" si="0">IF(E4=0,0,MIN(F4/E4,1))</f>
        <v>0</v>
      </c>
      <c r="H4" s="86">
        <f t="shared" ref="H4:H35" si="1">G4</f>
        <v>0</v>
      </c>
      <c r="I4" s="36" t="str">
        <f t="shared" ref="I4:I35" si="2">IF(G4=0,"⬜ Not Started",IF(G4&lt;0.5,"🔄 In Progress",IF(G4&lt;1,"🔥 Almost There","✅ Done!")))</f>
        <v>⬜ Not Started</v>
      </c>
      <c r="J4" s="39"/>
    </row>
    <row r="5" spans="1:10" ht="24" customHeight="1" x14ac:dyDescent="0.3">
      <c r="A5" s="64"/>
      <c r="B5" s="40" t="s">
        <v>54</v>
      </c>
      <c r="C5" s="41" t="s">
        <v>141</v>
      </c>
      <c r="D5" s="76">
        <v>46327</v>
      </c>
      <c r="E5" s="43">
        <v>150</v>
      </c>
      <c r="F5" s="75">
        <v>0</v>
      </c>
      <c r="G5" s="44">
        <f t="shared" si="0"/>
        <v>0</v>
      </c>
      <c r="H5" s="87">
        <f t="shared" si="1"/>
        <v>0</v>
      </c>
      <c r="I5" s="42" t="str">
        <f t="shared" si="2"/>
        <v>⬜ Not Started</v>
      </c>
      <c r="J5" s="45"/>
    </row>
    <row r="6" spans="1:10" ht="24" customHeight="1" x14ac:dyDescent="0.3">
      <c r="A6" s="64"/>
      <c r="B6" s="35" t="s">
        <v>55</v>
      </c>
      <c r="C6" s="41" t="s">
        <v>141</v>
      </c>
      <c r="D6" s="76">
        <v>46327</v>
      </c>
      <c r="E6" s="37">
        <v>120</v>
      </c>
      <c r="F6" s="75">
        <v>0</v>
      </c>
      <c r="G6" s="38">
        <f t="shared" si="0"/>
        <v>0</v>
      </c>
      <c r="H6" s="86">
        <f t="shared" si="1"/>
        <v>0</v>
      </c>
      <c r="I6" s="36" t="str">
        <f t="shared" si="2"/>
        <v>⬜ Not Started</v>
      </c>
      <c r="J6" s="39"/>
    </row>
    <row r="7" spans="1:10" ht="24" customHeight="1" x14ac:dyDescent="0.3">
      <c r="A7" s="64"/>
      <c r="B7" s="40" t="s">
        <v>56</v>
      </c>
      <c r="C7" s="41" t="s">
        <v>141</v>
      </c>
      <c r="D7" s="76">
        <v>46327</v>
      </c>
      <c r="E7" s="43">
        <v>120</v>
      </c>
      <c r="F7" s="75">
        <v>0</v>
      </c>
      <c r="G7" s="44">
        <f t="shared" si="0"/>
        <v>0</v>
      </c>
      <c r="H7" s="87">
        <f t="shared" si="1"/>
        <v>0</v>
      </c>
      <c r="I7" s="42" t="str">
        <f t="shared" si="2"/>
        <v>⬜ Not Started</v>
      </c>
      <c r="J7" s="45"/>
    </row>
    <row r="8" spans="1:10" ht="24" customHeight="1" x14ac:dyDescent="0.3">
      <c r="A8" s="64"/>
      <c r="B8" s="35" t="s">
        <v>57</v>
      </c>
      <c r="C8" s="41" t="s">
        <v>141</v>
      </c>
      <c r="D8" s="77">
        <v>46296</v>
      </c>
      <c r="E8" s="37">
        <v>60</v>
      </c>
      <c r="F8" s="75">
        <v>0</v>
      </c>
      <c r="G8" s="38">
        <f t="shared" si="0"/>
        <v>0</v>
      </c>
      <c r="H8" s="86">
        <f t="shared" si="1"/>
        <v>0</v>
      </c>
      <c r="I8" s="36" t="str">
        <f t="shared" si="2"/>
        <v>⬜ Not Started</v>
      </c>
      <c r="J8" s="39"/>
    </row>
    <row r="9" spans="1:10" ht="24" customHeight="1" x14ac:dyDescent="0.3">
      <c r="A9" s="64"/>
      <c r="B9" s="40" t="s">
        <v>58</v>
      </c>
      <c r="C9" s="41" t="s">
        <v>141</v>
      </c>
      <c r="D9" s="77">
        <v>46296</v>
      </c>
      <c r="E9" s="43">
        <v>80</v>
      </c>
      <c r="F9" s="75">
        <v>0</v>
      </c>
      <c r="G9" s="44">
        <f t="shared" si="0"/>
        <v>0</v>
      </c>
      <c r="H9" s="87">
        <f t="shared" si="1"/>
        <v>0</v>
      </c>
      <c r="I9" s="42" t="str">
        <f t="shared" si="2"/>
        <v>⬜ Not Started</v>
      </c>
      <c r="J9" s="45"/>
    </row>
    <row r="10" spans="1:10" ht="24" customHeight="1" x14ac:dyDescent="0.3">
      <c r="A10" s="64"/>
      <c r="B10" s="35" t="s">
        <v>59</v>
      </c>
      <c r="C10" s="46" t="s">
        <v>142</v>
      </c>
      <c r="D10" s="36" t="s">
        <v>32</v>
      </c>
      <c r="E10" s="37">
        <v>40</v>
      </c>
      <c r="F10" s="75">
        <v>0</v>
      </c>
      <c r="G10" s="38">
        <f t="shared" si="0"/>
        <v>0</v>
      </c>
      <c r="H10" s="86">
        <f t="shared" si="1"/>
        <v>0</v>
      </c>
      <c r="I10" s="36" t="str">
        <f t="shared" si="2"/>
        <v>⬜ Not Started</v>
      </c>
      <c r="J10" s="39"/>
    </row>
    <row r="11" spans="1:10" ht="24" customHeight="1" x14ac:dyDescent="0.3">
      <c r="A11" s="64"/>
      <c r="B11" s="40" t="s">
        <v>60</v>
      </c>
      <c r="C11" s="46" t="s">
        <v>142</v>
      </c>
      <c r="D11" s="42" t="s">
        <v>32</v>
      </c>
      <c r="E11" s="43">
        <v>40</v>
      </c>
      <c r="F11" s="75">
        <v>0</v>
      </c>
      <c r="G11" s="44">
        <f t="shared" si="0"/>
        <v>0</v>
      </c>
      <c r="H11" s="87">
        <f t="shared" si="1"/>
        <v>0</v>
      </c>
      <c r="I11" s="42" t="str">
        <f t="shared" si="2"/>
        <v>⬜ Not Started</v>
      </c>
      <c r="J11" s="45"/>
    </row>
    <row r="12" spans="1:10" ht="24" customHeight="1" x14ac:dyDescent="0.3">
      <c r="A12" s="64"/>
      <c r="B12" s="35" t="s">
        <v>61</v>
      </c>
      <c r="C12" s="46" t="s">
        <v>142</v>
      </c>
      <c r="D12" s="36" t="s">
        <v>32</v>
      </c>
      <c r="E12" s="37">
        <v>50</v>
      </c>
      <c r="F12" s="75">
        <v>0</v>
      </c>
      <c r="G12" s="38">
        <f t="shared" si="0"/>
        <v>0</v>
      </c>
      <c r="H12" s="86">
        <f t="shared" si="1"/>
        <v>0</v>
      </c>
      <c r="I12" s="36" t="str">
        <f t="shared" si="2"/>
        <v>⬜ Not Started</v>
      </c>
      <c r="J12" s="39"/>
    </row>
    <row r="13" spans="1:10" ht="24" customHeight="1" x14ac:dyDescent="0.3">
      <c r="A13" s="64"/>
      <c r="B13" s="40" t="s">
        <v>62</v>
      </c>
      <c r="C13" s="41" t="s">
        <v>141</v>
      </c>
      <c r="D13" s="42" t="s">
        <v>15</v>
      </c>
      <c r="E13" s="43">
        <v>60</v>
      </c>
      <c r="F13" s="75">
        <v>0</v>
      </c>
      <c r="G13" s="44">
        <f t="shared" si="0"/>
        <v>0</v>
      </c>
      <c r="H13" s="87">
        <f t="shared" si="1"/>
        <v>0</v>
      </c>
      <c r="I13" s="42" t="str">
        <f t="shared" si="2"/>
        <v>⬜ Not Started</v>
      </c>
      <c r="J13" s="45"/>
    </row>
    <row r="14" spans="1:10" ht="24" customHeight="1" x14ac:dyDescent="0.3">
      <c r="A14" s="64"/>
      <c r="B14" s="35" t="s">
        <v>63</v>
      </c>
      <c r="C14" s="41" t="s">
        <v>141</v>
      </c>
      <c r="D14" s="36" t="s">
        <v>15</v>
      </c>
      <c r="E14" s="37">
        <v>60</v>
      </c>
      <c r="F14" s="75">
        <v>0</v>
      </c>
      <c r="G14" s="38">
        <f t="shared" si="0"/>
        <v>0</v>
      </c>
      <c r="H14" s="86">
        <f t="shared" si="1"/>
        <v>0</v>
      </c>
      <c r="I14" s="36" t="str">
        <f t="shared" si="2"/>
        <v>⬜ Not Started</v>
      </c>
      <c r="J14" s="39"/>
    </row>
    <row r="15" spans="1:10" ht="24" customHeight="1" x14ac:dyDescent="0.3">
      <c r="A15" s="64"/>
      <c r="B15" s="40" t="s">
        <v>64</v>
      </c>
      <c r="C15" s="41" t="s">
        <v>141</v>
      </c>
      <c r="D15" s="42" t="s">
        <v>28</v>
      </c>
      <c r="E15" s="43">
        <v>40</v>
      </c>
      <c r="F15" s="75">
        <v>0</v>
      </c>
      <c r="G15" s="44">
        <f t="shared" si="0"/>
        <v>0</v>
      </c>
      <c r="H15" s="87">
        <f t="shared" si="1"/>
        <v>0</v>
      </c>
      <c r="I15" s="42" t="str">
        <f t="shared" si="2"/>
        <v>⬜ Not Started</v>
      </c>
      <c r="J15" s="45"/>
    </row>
    <row r="16" spans="1:10" ht="24" customHeight="1" x14ac:dyDescent="0.3">
      <c r="A16" s="64"/>
      <c r="B16" s="35" t="s">
        <v>65</v>
      </c>
      <c r="C16" s="41" t="s">
        <v>141</v>
      </c>
      <c r="D16" s="36" t="s">
        <v>28</v>
      </c>
      <c r="E16" s="37">
        <v>40</v>
      </c>
      <c r="F16" s="75">
        <v>0</v>
      </c>
      <c r="G16" s="38">
        <f t="shared" si="0"/>
        <v>0</v>
      </c>
      <c r="H16" s="86">
        <f t="shared" si="1"/>
        <v>0</v>
      </c>
      <c r="I16" s="36" t="str">
        <f t="shared" si="2"/>
        <v>⬜ Not Started</v>
      </c>
      <c r="J16" s="39"/>
    </row>
    <row r="17" spans="1:10" ht="24" customHeight="1" x14ac:dyDescent="0.3">
      <c r="A17" s="64"/>
      <c r="B17" s="40" t="s">
        <v>66</v>
      </c>
      <c r="C17" s="41" t="s">
        <v>141</v>
      </c>
      <c r="D17" s="42" t="s">
        <v>28</v>
      </c>
      <c r="E17" s="43">
        <v>40</v>
      </c>
      <c r="F17" s="75">
        <v>0</v>
      </c>
      <c r="G17" s="44">
        <f t="shared" si="0"/>
        <v>0</v>
      </c>
      <c r="H17" s="87">
        <f t="shared" si="1"/>
        <v>0</v>
      </c>
      <c r="I17" s="42" t="str">
        <f t="shared" si="2"/>
        <v>⬜ Not Started</v>
      </c>
      <c r="J17" s="45"/>
    </row>
    <row r="18" spans="1:10" ht="24" customHeight="1" x14ac:dyDescent="0.3">
      <c r="A18" s="64"/>
      <c r="B18" s="35" t="s">
        <v>67</v>
      </c>
      <c r="C18" s="41" t="s">
        <v>141</v>
      </c>
      <c r="D18" s="36" t="s">
        <v>28</v>
      </c>
      <c r="E18" s="37">
        <v>50</v>
      </c>
      <c r="F18" s="75">
        <v>0</v>
      </c>
      <c r="G18" s="38">
        <f t="shared" si="0"/>
        <v>0</v>
      </c>
      <c r="H18" s="86">
        <f t="shared" si="1"/>
        <v>0</v>
      </c>
      <c r="I18" s="36" t="str">
        <f t="shared" si="2"/>
        <v>⬜ Not Started</v>
      </c>
      <c r="J18" s="39"/>
    </row>
    <row r="19" spans="1:10" ht="24" customHeight="1" x14ac:dyDescent="0.3">
      <c r="A19" s="64"/>
      <c r="B19" s="40" t="s">
        <v>68</v>
      </c>
      <c r="C19" s="41" t="s">
        <v>141</v>
      </c>
      <c r="D19" s="42" t="s">
        <v>28</v>
      </c>
      <c r="E19" s="43">
        <v>40</v>
      </c>
      <c r="F19" s="75">
        <v>0</v>
      </c>
      <c r="G19" s="44">
        <f t="shared" si="0"/>
        <v>0</v>
      </c>
      <c r="H19" s="87">
        <f t="shared" si="1"/>
        <v>0</v>
      </c>
      <c r="I19" s="42" t="str">
        <f t="shared" si="2"/>
        <v>⬜ Not Started</v>
      </c>
      <c r="J19" s="45"/>
    </row>
    <row r="20" spans="1:10" ht="24" customHeight="1" x14ac:dyDescent="0.3">
      <c r="A20" s="64"/>
      <c r="B20" s="35" t="s">
        <v>69</v>
      </c>
      <c r="C20" s="41" t="s">
        <v>141</v>
      </c>
      <c r="D20" s="36" t="s">
        <v>28</v>
      </c>
      <c r="E20" s="37">
        <v>50</v>
      </c>
      <c r="F20" s="75">
        <v>0</v>
      </c>
      <c r="G20" s="38">
        <f t="shared" si="0"/>
        <v>0</v>
      </c>
      <c r="H20" s="86">
        <f t="shared" si="1"/>
        <v>0</v>
      </c>
      <c r="I20" s="36" t="str">
        <f t="shared" si="2"/>
        <v>⬜ Not Started</v>
      </c>
      <c r="J20" s="39"/>
    </row>
    <row r="21" spans="1:10" ht="24" customHeight="1" x14ac:dyDescent="0.3">
      <c r="A21" s="64"/>
      <c r="B21" s="40" t="s">
        <v>70</v>
      </c>
      <c r="C21" s="41" t="s">
        <v>141</v>
      </c>
      <c r="D21" s="42" t="s">
        <v>28</v>
      </c>
      <c r="E21" s="43">
        <v>60</v>
      </c>
      <c r="F21" s="75">
        <v>0</v>
      </c>
      <c r="G21" s="44">
        <f t="shared" si="0"/>
        <v>0</v>
      </c>
      <c r="H21" s="87">
        <f t="shared" si="1"/>
        <v>0</v>
      </c>
      <c r="I21" s="42" t="str">
        <f t="shared" si="2"/>
        <v>⬜ Not Started</v>
      </c>
      <c r="J21" s="45"/>
    </row>
    <row r="22" spans="1:10" ht="24" customHeight="1" x14ac:dyDescent="0.3">
      <c r="A22" s="64"/>
      <c r="B22" s="35" t="s">
        <v>71</v>
      </c>
      <c r="C22" s="46" t="s">
        <v>142</v>
      </c>
      <c r="D22" s="36" t="s">
        <v>32</v>
      </c>
      <c r="E22" s="37">
        <v>40</v>
      </c>
      <c r="F22" s="75">
        <v>0</v>
      </c>
      <c r="G22" s="38">
        <f t="shared" si="0"/>
        <v>0</v>
      </c>
      <c r="H22" s="86">
        <f t="shared" si="1"/>
        <v>0</v>
      </c>
      <c r="I22" s="36" t="str">
        <f t="shared" si="2"/>
        <v>⬜ Not Started</v>
      </c>
      <c r="J22" s="39"/>
    </row>
    <row r="23" spans="1:10" ht="24" customHeight="1" x14ac:dyDescent="0.3">
      <c r="A23" s="65"/>
      <c r="B23" s="40" t="s">
        <v>72</v>
      </c>
      <c r="C23" s="46" t="s">
        <v>142</v>
      </c>
      <c r="D23" s="42" t="s">
        <v>32</v>
      </c>
      <c r="E23" s="43">
        <v>40</v>
      </c>
      <c r="F23" s="75">
        <v>0</v>
      </c>
      <c r="G23" s="44">
        <f t="shared" si="0"/>
        <v>0</v>
      </c>
      <c r="H23" s="87">
        <f t="shared" si="1"/>
        <v>0</v>
      </c>
      <c r="I23" s="42" t="str">
        <f t="shared" si="2"/>
        <v>⬜ Not Started</v>
      </c>
      <c r="J23" s="45"/>
    </row>
    <row r="24" spans="1:10" ht="24" customHeight="1" x14ac:dyDescent="0.3">
      <c r="A24" s="60" t="s">
        <v>73</v>
      </c>
      <c r="B24" s="35" t="s">
        <v>74</v>
      </c>
      <c r="C24" s="41" t="s">
        <v>141</v>
      </c>
      <c r="D24" s="77">
        <v>46296</v>
      </c>
      <c r="E24" s="37">
        <v>100</v>
      </c>
      <c r="F24" s="75">
        <v>0</v>
      </c>
      <c r="G24" s="38">
        <f t="shared" si="0"/>
        <v>0</v>
      </c>
      <c r="H24" s="86">
        <f t="shared" si="1"/>
        <v>0</v>
      </c>
      <c r="I24" s="36" t="str">
        <f t="shared" si="2"/>
        <v>⬜ Not Started</v>
      </c>
      <c r="J24" s="39"/>
    </row>
    <row r="25" spans="1:10" ht="24" customHeight="1" x14ac:dyDescent="0.3">
      <c r="A25" s="61"/>
      <c r="B25" s="40" t="s">
        <v>75</v>
      </c>
      <c r="C25" s="41" t="s">
        <v>141</v>
      </c>
      <c r="D25" s="77">
        <v>46296</v>
      </c>
      <c r="E25" s="43">
        <v>80</v>
      </c>
      <c r="F25" s="75">
        <v>0</v>
      </c>
      <c r="G25" s="44">
        <f t="shared" si="0"/>
        <v>0</v>
      </c>
      <c r="H25" s="87">
        <f t="shared" si="1"/>
        <v>0</v>
      </c>
      <c r="I25" s="42" t="str">
        <f t="shared" si="2"/>
        <v>⬜ Not Started</v>
      </c>
      <c r="J25" s="45"/>
    </row>
    <row r="26" spans="1:10" ht="24" customHeight="1" x14ac:dyDescent="0.3">
      <c r="A26" s="61"/>
      <c r="B26" s="35" t="s">
        <v>76</v>
      </c>
      <c r="C26" s="41" t="s">
        <v>141</v>
      </c>
      <c r="D26" s="77">
        <v>46296</v>
      </c>
      <c r="E26" s="37">
        <v>100</v>
      </c>
      <c r="F26" s="75">
        <v>0</v>
      </c>
      <c r="G26" s="38">
        <f t="shared" si="0"/>
        <v>0</v>
      </c>
      <c r="H26" s="86">
        <f t="shared" si="1"/>
        <v>0</v>
      </c>
      <c r="I26" s="36" t="str">
        <f t="shared" si="2"/>
        <v>⬜ Not Started</v>
      </c>
      <c r="J26" s="39"/>
    </row>
    <row r="27" spans="1:10" ht="24" customHeight="1" x14ac:dyDescent="0.3">
      <c r="A27" s="61"/>
      <c r="B27" s="40" t="s">
        <v>77</v>
      </c>
      <c r="C27" s="41" t="s">
        <v>141</v>
      </c>
      <c r="D27" s="76">
        <v>46327</v>
      </c>
      <c r="E27" s="43">
        <v>80</v>
      </c>
      <c r="F27" s="75">
        <v>0</v>
      </c>
      <c r="G27" s="44">
        <f t="shared" si="0"/>
        <v>0</v>
      </c>
      <c r="H27" s="87">
        <f t="shared" si="1"/>
        <v>0</v>
      </c>
      <c r="I27" s="42" t="str">
        <f t="shared" si="2"/>
        <v>⬜ Not Started</v>
      </c>
      <c r="J27" s="45"/>
    </row>
    <row r="28" spans="1:10" ht="24" customHeight="1" x14ac:dyDescent="0.3">
      <c r="A28" s="61"/>
      <c r="B28" s="35" t="s">
        <v>78</v>
      </c>
      <c r="C28" s="41" t="s">
        <v>141</v>
      </c>
      <c r="D28" s="76">
        <v>46327</v>
      </c>
      <c r="E28" s="37">
        <v>100</v>
      </c>
      <c r="F28" s="75">
        <v>0</v>
      </c>
      <c r="G28" s="38">
        <f t="shared" si="0"/>
        <v>0</v>
      </c>
      <c r="H28" s="86">
        <f t="shared" si="1"/>
        <v>0</v>
      </c>
      <c r="I28" s="36" t="str">
        <f t="shared" si="2"/>
        <v>⬜ Not Started</v>
      </c>
      <c r="J28" s="39"/>
    </row>
    <row r="29" spans="1:10" ht="24" customHeight="1" x14ac:dyDescent="0.3">
      <c r="A29" s="61"/>
      <c r="B29" s="40" t="s">
        <v>79</v>
      </c>
      <c r="C29" s="41" t="s">
        <v>141</v>
      </c>
      <c r="D29" s="42" t="s">
        <v>21</v>
      </c>
      <c r="E29" s="43">
        <v>80</v>
      </c>
      <c r="F29" s="75">
        <v>0</v>
      </c>
      <c r="G29" s="44">
        <f t="shared" si="0"/>
        <v>0</v>
      </c>
      <c r="H29" s="87">
        <f t="shared" si="1"/>
        <v>0</v>
      </c>
      <c r="I29" s="42" t="str">
        <f t="shared" si="2"/>
        <v>⬜ Not Started</v>
      </c>
      <c r="J29" s="45"/>
    </row>
    <row r="30" spans="1:10" ht="24" customHeight="1" x14ac:dyDescent="0.3">
      <c r="A30" s="61"/>
      <c r="B30" s="35" t="s">
        <v>80</v>
      </c>
      <c r="C30" s="41" t="s">
        <v>141</v>
      </c>
      <c r="D30" s="36" t="s">
        <v>21</v>
      </c>
      <c r="E30" s="37">
        <v>60</v>
      </c>
      <c r="F30" s="75">
        <v>0</v>
      </c>
      <c r="G30" s="38">
        <f t="shared" si="0"/>
        <v>0</v>
      </c>
      <c r="H30" s="86">
        <f t="shared" si="1"/>
        <v>0</v>
      </c>
      <c r="I30" s="36" t="str">
        <f t="shared" si="2"/>
        <v>⬜ Not Started</v>
      </c>
      <c r="J30" s="39"/>
    </row>
    <row r="31" spans="1:10" ht="24" customHeight="1" x14ac:dyDescent="0.3">
      <c r="A31" s="61"/>
      <c r="B31" s="40" t="s">
        <v>81</v>
      </c>
      <c r="C31" s="41" t="s">
        <v>141</v>
      </c>
      <c r="D31" s="42" t="s">
        <v>21</v>
      </c>
      <c r="E31" s="43">
        <v>100</v>
      </c>
      <c r="F31" s="75">
        <v>0</v>
      </c>
      <c r="G31" s="44">
        <f t="shared" si="0"/>
        <v>0</v>
      </c>
      <c r="H31" s="87">
        <f t="shared" si="1"/>
        <v>0</v>
      </c>
      <c r="I31" s="42" t="str">
        <f t="shared" si="2"/>
        <v>⬜ Not Started</v>
      </c>
      <c r="J31" s="45"/>
    </row>
    <row r="32" spans="1:10" ht="24" customHeight="1" x14ac:dyDescent="0.3">
      <c r="A32" s="61"/>
      <c r="B32" s="35" t="s">
        <v>82</v>
      </c>
      <c r="C32" s="41" t="s">
        <v>141</v>
      </c>
      <c r="D32" s="36" t="s">
        <v>21</v>
      </c>
      <c r="E32" s="37">
        <v>80</v>
      </c>
      <c r="F32" s="75">
        <v>0</v>
      </c>
      <c r="G32" s="38">
        <f t="shared" si="0"/>
        <v>0</v>
      </c>
      <c r="H32" s="86">
        <f t="shared" si="1"/>
        <v>0</v>
      </c>
      <c r="I32" s="36" t="str">
        <f t="shared" si="2"/>
        <v>⬜ Not Started</v>
      </c>
      <c r="J32" s="39"/>
    </row>
    <row r="33" spans="1:10" ht="24" customHeight="1" x14ac:dyDescent="0.3">
      <c r="A33" s="61"/>
      <c r="B33" s="40" t="s">
        <v>83</v>
      </c>
      <c r="C33" s="41" t="s">
        <v>141</v>
      </c>
      <c r="D33" s="42" t="s">
        <v>21</v>
      </c>
      <c r="E33" s="43">
        <v>80</v>
      </c>
      <c r="F33" s="75">
        <v>0</v>
      </c>
      <c r="G33" s="44">
        <f t="shared" si="0"/>
        <v>0</v>
      </c>
      <c r="H33" s="87">
        <f t="shared" si="1"/>
        <v>0</v>
      </c>
      <c r="I33" s="42" t="str">
        <f t="shared" si="2"/>
        <v>⬜ Not Started</v>
      </c>
      <c r="J33" s="45"/>
    </row>
    <row r="34" spans="1:10" ht="24" customHeight="1" x14ac:dyDescent="0.3">
      <c r="A34" s="61"/>
      <c r="B34" s="35" t="s">
        <v>84</v>
      </c>
      <c r="C34" s="41" t="s">
        <v>141</v>
      </c>
      <c r="D34" s="36" t="s">
        <v>24</v>
      </c>
      <c r="E34" s="37">
        <v>100</v>
      </c>
      <c r="F34" s="75">
        <v>0</v>
      </c>
      <c r="G34" s="38">
        <f t="shared" si="0"/>
        <v>0</v>
      </c>
      <c r="H34" s="86">
        <f t="shared" si="1"/>
        <v>0</v>
      </c>
      <c r="I34" s="36" t="str">
        <f t="shared" si="2"/>
        <v>⬜ Not Started</v>
      </c>
      <c r="J34" s="39"/>
    </row>
    <row r="35" spans="1:10" ht="24" customHeight="1" x14ac:dyDescent="0.3">
      <c r="A35" s="61"/>
      <c r="B35" s="40" t="s">
        <v>85</v>
      </c>
      <c r="C35" s="46" t="s">
        <v>142</v>
      </c>
      <c r="D35" s="42" t="s">
        <v>32</v>
      </c>
      <c r="E35" s="43">
        <v>60</v>
      </c>
      <c r="F35" s="75">
        <v>0</v>
      </c>
      <c r="G35" s="44">
        <f t="shared" si="0"/>
        <v>0</v>
      </c>
      <c r="H35" s="87">
        <f t="shared" si="1"/>
        <v>0</v>
      </c>
      <c r="I35" s="42" t="str">
        <f t="shared" si="2"/>
        <v>⬜ Not Started</v>
      </c>
      <c r="J35" s="45"/>
    </row>
    <row r="36" spans="1:10" ht="24" customHeight="1" x14ac:dyDescent="0.3">
      <c r="A36" s="61"/>
      <c r="B36" s="35" t="s">
        <v>86</v>
      </c>
      <c r="C36" s="46" t="s">
        <v>142</v>
      </c>
      <c r="D36" s="36" t="s">
        <v>32</v>
      </c>
      <c r="E36" s="37">
        <v>50</v>
      </c>
      <c r="F36" s="75">
        <v>0</v>
      </c>
      <c r="G36" s="38">
        <f t="shared" ref="G36:G67" si="3">IF(E36=0,0,MIN(F36/E36,1))</f>
        <v>0</v>
      </c>
      <c r="H36" s="86">
        <f t="shared" ref="H36:H67" si="4">G36</f>
        <v>0</v>
      </c>
      <c r="I36" s="36" t="str">
        <f t="shared" ref="I36:I70" si="5">IF(G36=0,"⬜ Not Started",IF(G36&lt;0.5,"🔄 In Progress",IF(G36&lt;1,"🔥 Almost There","✅ Done!")))</f>
        <v>⬜ Not Started</v>
      </c>
      <c r="J36" s="39"/>
    </row>
    <row r="37" spans="1:10" ht="24" customHeight="1" x14ac:dyDescent="0.3">
      <c r="A37" s="61"/>
      <c r="B37" s="40" t="s">
        <v>87</v>
      </c>
      <c r="C37" s="41" t="s">
        <v>141</v>
      </c>
      <c r="D37" s="42" t="s">
        <v>24</v>
      </c>
      <c r="E37" s="43">
        <v>50</v>
      </c>
      <c r="F37" s="75">
        <v>0</v>
      </c>
      <c r="G37" s="44">
        <f t="shared" si="3"/>
        <v>0</v>
      </c>
      <c r="H37" s="87">
        <f t="shared" si="4"/>
        <v>0</v>
      </c>
      <c r="I37" s="42" t="str">
        <f t="shared" si="5"/>
        <v>⬜ Not Started</v>
      </c>
      <c r="J37" s="45"/>
    </row>
    <row r="38" spans="1:10" ht="24" customHeight="1" x14ac:dyDescent="0.3">
      <c r="A38" s="61"/>
      <c r="B38" s="35" t="s">
        <v>88</v>
      </c>
      <c r="C38" s="46" t="s">
        <v>142</v>
      </c>
      <c r="D38" s="36" t="s">
        <v>32</v>
      </c>
      <c r="E38" s="37">
        <v>50</v>
      </c>
      <c r="F38" s="75">
        <v>0</v>
      </c>
      <c r="G38" s="38">
        <f t="shared" si="3"/>
        <v>0</v>
      </c>
      <c r="H38" s="86">
        <f t="shared" si="4"/>
        <v>0</v>
      </c>
      <c r="I38" s="36" t="str">
        <f t="shared" si="5"/>
        <v>⬜ Not Started</v>
      </c>
      <c r="J38" s="39"/>
    </row>
    <row r="39" spans="1:10" ht="24" customHeight="1" x14ac:dyDescent="0.3">
      <c r="A39" s="61"/>
      <c r="B39" s="40" t="s">
        <v>89</v>
      </c>
      <c r="C39" s="41" t="s">
        <v>141</v>
      </c>
      <c r="D39" s="42" t="s">
        <v>24</v>
      </c>
      <c r="E39" s="43">
        <v>80</v>
      </c>
      <c r="F39" s="75">
        <v>0</v>
      </c>
      <c r="G39" s="44">
        <f t="shared" si="3"/>
        <v>0</v>
      </c>
      <c r="H39" s="87">
        <f t="shared" si="4"/>
        <v>0</v>
      </c>
      <c r="I39" s="42" t="str">
        <f t="shared" si="5"/>
        <v>⬜ Not Started</v>
      </c>
      <c r="J39" s="45"/>
    </row>
    <row r="40" spans="1:10" ht="24" customHeight="1" x14ac:dyDescent="0.3">
      <c r="A40" s="61"/>
      <c r="B40" s="35" t="s">
        <v>90</v>
      </c>
      <c r="C40" s="41" t="s">
        <v>141</v>
      </c>
      <c r="D40" s="36" t="s">
        <v>15</v>
      </c>
      <c r="E40" s="37">
        <v>60</v>
      </c>
      <c r="F40" s="75">
        <v>0</v>
      </c>
      <c r="G40" s="38">
        <f t="shared" si="3"/>
        <v>0</v>
      </c>
      <c r="H40" s="86">
        <f t="shared" si="4"/>
        <v>0</v>
      </c>
      <c r="I40" s="36" t="str">
        <f t="shared" si="5"/>
        <v>⬜ Not Started</v>
      </c>
      <c r="J40" s="39"/>
    </row>
    <row r="41" spans="1:10" ht="24" customHeight="1" x14ac:dyDescent="0.3">
      <c r="A41" s="61"/>
      <c r="B41" s="40" t="s">
        <v>91</v>
      </c>
      <c r="C41" s="41" t="s">
        <v>141</v>
      </c>
      <c r="D41" s="42" t="s">
        <v>24</v>
      </c>
      <c r="E41" s="43">
        <v>50</v>
      </c>
      <c r="F41" s="75">
        <v>0</v>
      </c>
      <c r="G41" s="44">
        <f t="shared" si="3"/>
        <v>0</v>
      </c>
      <c r="H41" s="87">
        <f t="shared" si="4"/>
        <v>0</v>
      </c>
      <c r="I41" s="42" t="str">
        <f t="shared" si="5"/>
        <v>⬜ Not Started</v>
      </c>
      <c r="J41" s="45"/>
    </row>
    <row r="42" spans="1:10" ht="24" customHeight="1" x14ac:dyDescent="0.3">
      <c r="A42" s="61"/>
      <c r="B42" s="35" t="s">
        <v>92</v>
      </c>
      <c r="C42" s="46" t="s">
        <v>142</v>
      </c>
      <c r="D42" s="36" t="s">
        <v>32</v>
      </c>
      <c r="E42" s="37">
        <v>50</v>
      </c>
      <c r="F42" s="75">
        <v>0</v>
      </c>
      <c r="G42" s="38">
        <f t="shared" si="3"/>
        <v>0</v>
      </c>
      <c r="H42" s="86">
        <f t="shared" si="4"/>
        <v>0</v>
      </c>
      <c r="I42" s="36" t="str">
        <f t="shared" si="5"/>
        <v>⬜ Not Started</v>
      </c>
      <c r="J42" s="39"/>
    </row>
    <row r="43" spans="1:10" ht="24" customHeight="1" x14ac:dyDescent="0.3">
      <c r="A43" s="61"/>
      <c r="B43" s="40" t="s">
        <v>93</v>
      </c>
      <c r="C43" s="41" t="s">
        <v>141</v>
      </c>
      <c r="D43" s="42" t="s">
        <v>15</v>
      </c>
      <c r="E43" s="43">
        <v>50</v>
      </c>
      <c r="F43" s="75">
        <v>0</v>
      </c>
      <c r="G43" s="44">
        <f t="shared" si="3"/>
        <v>0</v>
      </c>
      <c r="H43" s="87">
        <f t="shared" si="4"/>
        <v>0</v>
      </c>
      <c r="I43" s="42" t="str">
        <f t="shared" si="5"/>
        <v>⬜ Not Started</v>
      </c>
      <c r="J43" s="45"/>
    </row>
    <row r="44" spans="1:10" ht="24" customHeight="1" x14ac:dyDescent="0.3">
      <c r="A44" s="61"/>
      <c r="B44" s="35" t="s">
        <v>94</v>
      </c>
      <c r="C44" s="46" t="s">
        <v>142</v>
      </c>
      <c r="D44" s="36" t="s">
        <v>32</v>
      </c>
      <c r="E44" s="37">
        <v>40</v>
      </c>
      <c r="F44" s="75">
        <v>0</v>
      </c>
      <c r="G44" s="38">
        <f t="shared" si="3"/>
        <v>0</v>
      </c>
      <c r="H44" s="86">
        <f t="shared" si="4"/>
        <v>0</v>
      </c>
      <c r="I44" s="36" t="str">
        <f t="shared" si="5"/>
        <v>⬜ Not Started</v>
      </c>
      <c r="J44" s="39"/>
    </row>
    <row r="45" spans="1:10" ht="24" customHeight="1" x14ac:dyDescent="0.3">
      <c r="A45" s="61"/>
      <c r="B45" s="40" t="s">
        <v>95</v>
      </c>
      <c r="C45" s="46" t="s">
        <v>142</v>
      </c>
      <c r="D45" s="42" t="s">
        <v>32</v>
      </c>
      <c r="E45" s="43">
        <v>40</v>
      </c>
      <c r="F45" s="75">
        <v>0</v>
      </c>
      <c r="G45" s="44">
        <f t="shared" si="3"/>
        <v>0</v>
      </c>
      <c r="H45" s="87">
        <f t="shared" si="4"/>
        <v>0</v>
      </c>
      <c r="I45" s="42" t="str">
        <f t="shared" si="5"/>
        <v>⬜ Not Started</v>
      </c>
      <c r="J45" s="45"/>
    </row>
    <row r="46" spans="1:10" ht="24" customHeight="1" x14ac:dyDescent="0.3">
      <c r="A46" s="61"/>
      <c r="B46" s="35" t="s">
        <v>96</v>
      </c>
      <c r="C46" s="46" t="s">
        <v>142</v>
      </c>
      <c r="D46" s="36" t="s">
        <v>32</v>
      </c>
      <c r="E46" s="37">
        <v>40</v>
      </c>
      <c r="F46" s="75">
        <v>0</v>
      </c>
      <c r="G46" s="38">
        <f t="shared" si="3"/>
        <v>0</v>
      </c>
      <c r="H46" s="86">
        <f t="shared" si="4"/>
        <v>0</v>
      </c>
      <c r="I46" s="36" t="str">
        <f t="shared" si="5"/>
        <v>⬜ Not Started</v>
      </c>
      <c r="J46" s="39"/>
    </row>
    <row r="47" spans="1:10" ht="24" customHeight="1" x14ac:dyDescent="0.3">
      <c r="A47" s="61"/>
      <c r="B47" s="40" t="s">
        <v>97</v>
      </c>
      <c r="C47" s="46" t="s">
        <v>142</v>
      </c>
      <c r="D47" s="42" t="s">
        <v>32</v>
      </c>
      <c r="E47" s="43">
        <v>40</v>
      </c>
      <c r="F47" s="75">
        <v>0</v>
      </c>
      <c r="G47" s="44">
        <f t="shared" si="3"/>
        <v>0</v>
      </c>
      <c r="H47" s="87">
        <f t="shared" si="4"/>
        <v>0</v>
      </c>
      <c r="I47" s="42" t="str">
        <f t="shared" si="5"/>
        <v>⬜ Not Started</v>
      </c>
      <c r="J47" s="45"/>
    </row>
    <row r="48" spans="1:10" ht="24" customHeight="1" x14ac:dyDescent="0.3">
      <c r="A48" s="61"/>
      <c r="B48" s="35" t="s">
        <v>98</v>
      </c>
      <c r="C48" s="46" t="s">
        <v>142</v>
      </c>
      <c r="D48" s="36" t="s">
        <v>32</v>
      </c>
      <c r="E48" s="37">
        <v>40</v>
      </c>
      <c r="F48" s="75">
        <v>0</v>
      </c>
      <c r="G48" s="38">
        <f t="shared" si="3"/>
        <v>0</v>
      </c>
      <c r="H48" s="86">
        <f t="shared" si="4"/>
        <v>0</v>
      </c>
      <c r="I48" s="36" t="str">
        <f t="shared" si="5"/>
        <v>⬜ Not Started</v>
      </c>
      <c r="J48" s="39"/>
    </row>
    <row r="49" spans="1:10" ht="24" customHeight="1" x14ac:dyDescent="0.3">
      <c r="A49" s="62"/>
      <c r="B49" s="40" t="s">
        <v>99</v>
      </c>
      <c r="C49" s="46" t="s">
        <v>142</v>
      </c>
      <c r="D49" s="42" t="s">
        <v>32</v>
      </c>
      <c r="E49" s="43">
        <v>40</v>
      </c>
      <c r="F49" s="75">
        <v>0</v>
      </c>
      <c r="G49" s="44">
        <f t="shared" si="3"/>
        <v>0</v>
      </c>
      <c r="H49" s="87">
        <f t="shared" si="4"/>
        <v>0</v>
      </c>
      <c r="I49" s="42" t="str">
        <f t="shared" si="5"/>
        <v>⬜ Not Started</v>
      </c>
      <c r="J49" s="45"/>
    </row>
    <row r="50" spans="1:10" ht="24" customHeight="1" x14ac:dyDescent="0.3">
      <c r="A50" s="57" t="s">
        <v>100</v>
      </c>
      <c r="B50" s="35" t="s">
        <v>101</v>
      </c>
      <c r="C50" s="41" t="s">
        <v>141</v>
      </c>
      <c r="D50" s="77">
        <v>46296</v>
      </c>
      <c r="E50" s="37">
        <v>80</v>
      </c>
      <c r="F50" s="75">
        <v>0</v>
      </c>
      <c r="G50" s="38">
        <f t="shared" si="3"/>
        <v>0</v>
      </c>
      <c r="H50" s="86">
        <f t="shared" si="4"/>
        <v>0</v>
      </c>
      <c r="I50" s="36" t="str">
        <f t="shared" si="5"/>
        <v>⬜ Not Started</v>
      </c>
      <c r="J50" s="39"/>
    </row>
    <row r="51" spans="1:10" ht="24" customHeight="1" x14ac:dyDescent="0.3">
      <c r="A51" s="58"/>
      <c r="B51" s="40" t="s">
        <v>102</v>
      </c>
      <c r="C51" s="41" t="s">
        <v>141</v>
      </c>
      <c r="D51" s="42" t="s">
        <v>24</v>
      </c>
      <c r="E51" s="43">
        <v>80</v>
      </c>
      <c r="F51" s="75">
        <v>0</v>
      </c>
      <c r="G51" s="44">
        <f t="shared" si="3"/>
        <v>0</v>
      </c>
      <c r="H51" s="87">
        <f t="shared" si="4"/>
        <v>0</v>
      </c>
      <c r="I51" s="42" t="str">
        <f t="shared" si="5"/>
        <v>⬜ Not Started</v>
      </c>
      <c r="J51" s="45"/>
    </row>
    <row r="52" spans="1:10" ht="24" customHeight="1" x14ac:dyDescent="0.3">
      <c r="A52" s="59"/>
      <c r="B52" s="35" t="s">
        <v>103</v>
      </c>
      <c r="C52" s="41" t="s">
        <v>141</v>
      </c>
      <c r="D52" s="36" t="s">
        <v>24</v>
      </c>
      <c r="E52" s="37">
        <v>80</v>
      </c>
      <c r="F52" s="75">
        <v>0</v>
      </c>
      <c r="G52" s="38">
        <f t="shared" si="3"/>
        <v>0</v>
      </c>
      <c r="H52" s="86">
        <f t="shared" si="4"/>
        <v>0</v>
      </c>
      <c r="I52" s="36" t="str">
        <f t="shared" si="5"/>
        <v>⬜ Not Started</v>
      </c>
      <c r="J52" s="39"/>
    </row>
    <row r="53" spans="1:10" ht="24" customHeight="1" x14ac:dyDescent="0.3">
      <c r="A53" s="66" t="s">
        <v>104</v>
      </c>
      <c r="B53" s="40" t="s">
        <v>105</v>
      </c>
      <c r="C53" s="41" t="s">
        <v>141</v>
      </c>
      <c r="D53" s="42" t="s">
        <v>21</v>
      </c>
      <c r="E53" s="43">
        <v>50</v>
      </c>
      <c r="F53" s="75">
        <v>0</v>
      </c>
      <c r="G53" s="44">
        <f t="shared" si="3"/>
        <v>0</v>
      </c>
      <c r="H53" s="87">
        <f t="shared" si="4"/>
        <v>0</v>
      </c>
      <c r="I53" s="42" t="str">
        <f t="shared" si="5"/>
        <v>⬜ Not Started</v>
      </c>
      <c r="J53" s="45"/>
    </row>
    <row r="54" spans="1:10" ht="24" customHeight="1" x14ac:dyDescent="0.3">
      <c r="A54" s="67"/>
      <c r="B54" s="35" t="s">
        <v>106</v>
      </c>
      <c r="C54" s="41" t="s">
        <v>141</v>
      </c>
      <c r="D54" s="36" t="s">
        <v>21</v>
      </c>
      <c r="E54" s="37">
        <v>60</v>
      </c>
      <c r="F54" s="75">
        <v>0</v>
      </c>
      <c r="G54" s="38">
        <f t="shared" si="3"/>
        <v>0</v>
      </c>
      <c r="H54" s="86">
        <f t="shared" si="4"/>
        <v>0</v>
      </c>
      <c r="I54" s="36" t="str">
        <f t="shared" si="5"/>
        <v>⬜ Not Started</v>
      </c>
      <c r="J54" s="39"/>
    </row>
    <row r="55" spans="1:10" ht="24" customHeight="1" x14ac:dyDescent="0.3">
      <c r="A55" s="67"/>
      <c r="B55" s="40" t="s">
        <v>107</v>
      </c>
      <c r="C55" s="41" t="s">
        <v>141</v>
      </c>
      <c r="D55" s="42" t="s">
        <v>21</v>
      </c>
      <c r="E55" s="43">
        <v>50</v>
      </c>
      <c r="F55" s="75">
        <v>0</v>
      </c>
      <c r="G55" s="44">
        <f t="shared" si="3"/>
        <v>0</v>
      </c>
      <c r="H55" s="87">
        <f t="shared" si="4"/>
        <v>0</v>
      </c>
      <c r="I55" s="42" t="str">
        <f t="shared" si="5"/>
        <v>⬜ Not Started</v>
      </c>
      <c r="J55" s="45"/>
    </row>
    <row r="56" spans="1:10" ht="24" customHeight="1" x14ac:dyDescent="0.3">
      <c r="A56" s="67"/>
      <c r="B56" s="35" t="s">
        <v>108</v>
      </c>
      <c r="C56" s="41" t="s">
        <v>141</v>
      </c>
      <c r="D56" s="36" t="s">
        <v>21</v>
      </c>
      <c r="E56" s="37">
        <v>50</v>
      </c>
      <c r="F56" s="75">
        <v>0</v>
      </c>
      <c r="G56" s="38">
        <f t="shared" si="3"/>
        <v>0</v>
      </c>
      <c r="H56" s="86">
        <f t="shared" si="4"/>
        <v>0</v>
      </c>
      <c r="I56" s="36" t="str">
        <f t="shared" si="5"/>
        <v>⬜ Not Started</v>
      </c>
      <c r="J56" s="39"/>
    </row>
    <row r="57" spans="1:10" ht="24" customHeight="1" x14ac:dyDescent="0.3">
      <c r="A57" s="67"/>
      <c r="B57" s="40" t="s">
        <v>109</v>
      </c>
      <c r="C57" s="41" t="s">
        <v>141</v>
      </c>
      <c r="D57" s="42" t="s">
        <v>21</v>
      </c>
      <c r="E57" s="43">
        <v>50</v>
      </c>
      <c r="F57" s="75">
        <v>0</v>
      </c>
      <c r="G57" s="44">
        <f t="shared" si="3"/>
        <v>0</v>
      </c>
      <c r="H57" s="87">
        <f t="shared" si="4"/>
        <v>0</v>
      </c>
      <c r="I57" s="42" t="str">
        <f t="shared" si="5"/>
        <v>⬜ Not Started</v>
      </c>
      <c r="J57" s="45"/>
    </row>
    <row r="58" spans="1:10" ht="24" customHeight="1" x14ac:dyDescent="0.3">
      <c r="A58" s="67"/>
      <c r="B58" s="35" t="s">
        <v>110</v>
      </c>
      <c r="C58" s="41" t="s">
        <v>141</v>
      </c>
      <c r="D58" s="36" t="s">
        <v>24</v>
      </c>
      <c r="E58" s="37">
        <v>50</v>
      </c>
      <c r="F58" s="75">
        <v>0</v>
      </c>
      <c r="G58" s="38">
        <f t="shared" si="3"/>
        <v>0</v>
      </c>
      <c r="H58" s="86">
        <f t="shared" si="4"/>
        <v>0</v>
      </c>
      <c r="I58" s="36" t="str">
        <f t="shared" si="5"/>
        <v>⬜ Not Started</v>
      </c>
      <c r="J58" s="39"/>
    </row>
    <row r="59" spans="1:10" ht="24" customHeight="1" x14ac:dyDescent="0.3">
      <c r="A59" s="67"/>
      <c r="B59" s="40" t="s">
        <v>111</v>
      </c>
      <c r="C59" s="41" t="s">
        <v>141</v>
      </c>
      <c r="D59" s="42" t="s">
        <v>24</v>
      </c>
      <c r="E59" s="43">
        <v>50</v>
      </c>
      <c r="F59" s="75">
        <v>0</v>
      </c>
      <c r="G59" s="44">
        <f t="shared" si="3"/>
        <v>0</v>
      </c>
      <c r="H59" s="87">
        <f t="shared" si="4"/>
        <v>0</v>
      </c>
      <c r="I59" s="42" t="str">
        <f t="shared" si="5"/>
        <v>⬜ Not Started</v>
      </c>
      <c r="J59" s="45"/>
    </row>
    <row r="60" spans="1:10" ht="24" customHeight="1" x14ac:dyDescent="0.3">
      <c r="A60" s="68"/>
      <c r="B60" s="35" t="s">
        <v>112</v>
      </c>
      <c r="C60" s="41" t="s">
        <v>141</v>
      </c>
      <c r="D60" s="36" t="s">
        <v>24</v>
      </c>
      <c r="E60" s="37">
        <v>50</v>
      </c>
      <c r="F60" s="75">
        <v>0</v>
      </c>
      <c r="G60" s="38">
        <f t="shared" si="3"/>
        <v>0</v>
      </c>
      <c r="H60" s="86">
        <f t="shared" si="4"/>
        <v>0</v>
      </c>
      <c r="I60" s="36" t="str">
        <f t="shared" si="5"/>
        <v>⬜ Not Started</v>
      </c>
      <c r="J60" s="39"/>
    </row>
    <row r="61" spans="1:10" ht="24" customHeight="1" x14ac:dyDescent="0.3">
      <c r="A61" s="69" t="s">
        <v>113</v>
      </c>
      <c r="B61" s="40" t="s">
        <v>114</v>
      </c>
      <c r="C61" s="41" t="s">
        <v>141</v>
      </c>
      <c r="D61" s="77">
        <v>46296</v>
      </c>
      <c r="E61" s="43">
        <v>400</v>
      </c>
      <c r="F61" s="75">
        <v>0</v>
      </c>
      <c r="G61" s="44">
        <f t="shared" si="3"/>
        <v>0</v>
      </c>
      <c r="H61" s="87">
        <f t="shared" si="4"/>
        <v>0</v>
      </c>
      <c r="I61" s="42" t="str">
        <f t="shared" si="5"/>
        <v>⬜ Not Started</v>
      </c>
      <c r="J61" s="45"/>
    </row>
    <row r="62" spans="1:10" ht="24" customHeight="1" x14ac:dyDescent="0.3">
      <c r="A62" s="70"/>
      <c r="B62" s="35" t="s">
        <v>115</v>
      </c>
      <c r="C62" s="41" t="s">
        <v>141</v>
      </c>
      <c r="D62" s="36" t="s">
        <v>15</v>
      </c>
      <c r="E62" s="37">
        <v>80</v>
      </c>
      <c r="F62" s="75">
        <v>0</v>
      </c>
      <c r="G62" s="38">
        <f t="shared" si="3"/>
        <v>0</v>
      </c>
      <c r="H62" s="86">
        <f t="shared" si="4"/>
        <v>0</v>
      </c>
      <c r="I62" s="36" t="str">
        <f t="shared" si="5"/>
        <v>⬜ Not Started</v>
      </c>
      <c r="J62" s="39"/>
    </row>
    <row r="63" spans="1:10" ht="24" customHeight="1" x14ac:dyDescent="0.3">
      <c r="A63" s="70"/>
      <c r="B63" s="40" t="s">
        <v>116</v>
      </c>
      <c r="C63" s="41" t="s">
        <v>141</v>
      </c>
      <c r="D63" s="42" t="s">
        <v>28</v>
      </c>
      <c r="E63" s="43">
        <v>60</v>
      </c>
      <c r="F63" s="75">
        <v>0</v>
      </c>
      <c r="G63" s="44">
        <f t="shared" si="3"/>
        <v>0</v>
      </c>
      <c r="H63" s="87">
        <f t="shared" si="4"/>
        <v>0</v>
      </c>
      <c r="I63" s="42" t="str">
        <f t="shared" si="5"/>
        <v>⬜ Not Started</v>
      </c>
      <c r="J63" s="45"/>
    </row>
    <row r="64" spans="1:10" ht="24" customHeight="1" x14ac:dyDescent="0.3">
      <c r="A64" s="70"/>
      <c r="B64" s="35" t="s">
        <v>117</v>
      </c>
      <c r="C64" s="41" t="s">
        <v>141</v>
      </c>
      <c r="D64" s="36" t="s">
        <v>28</v>
      </c>
      <c r="E64" s="37">
        <v>100</v>
      </c>
      <c r="F64" s="75">
        <v>0</v>
      </c>
      <c r="G64" s="38">
        <f t="shared" si="3"/>
        <v>0</v>
      </c>
      <c r="H64" s="86">
        <f t="shared" si="4"/>
        <v>0</v>
      </c>
      <c r="I64" s="36" t="str">
        <f t="shared" si="5"/>
        <v>⬜ Not Started</v>
      </c>
      <c r="J64" s="39"/>
    </row>
    <row r="65" spans="1:10" ht="24" customHeight="1" x14ac:dyDescent="0.3">
      <c r="A65" s="70"/>
      <c r="B65" s="40" t="s">
        <v>118</v>
      </c>
      <c r="C65" s="41" t="s">
        <v>141</v>
      </c>
      <c r="D65" s="42" t="s">
        <v>28</v>
      </c>
      <c r="E65" s="43">
        <v>60</v>
      </c>
      <c r="F65" s="75">
        <v>0</v>
      </c>
      <c r="G65" s="44">
        <f t="shared" si="3"/>
        <v>0</v>
      </c>
      <c r="H65" s="87">
        <f t="shared" si="4"/>
        <v>0</v>
      </c>
      <c r="I65" s="42" t="str">
        <f t="shared" si="5"/>
        <v>⬜ Not Started</v>
      </c>
      <c r="J65" s="45"/>
    </row>
    <row r="66" spans="1:10" ht="24" customHeight="1" x14ac:dyDescent="0.3">
      <c r="A66" s="70"/>
      <c r="B66" s="35" t="s">
        <v>119</v>
      </c>
      <c r="C66" s="41" t="s">
        <v>141</v>
      </c>
      <c r="D66" s="36" t="s">
        <v>32</v>
      </c>
      <c r="E66" s="37">
        <v>60</v>
      </c>
      <c r="F66" s="75">
        <v>0</v>
      </c>
      <c r="G66" s="38">
        <f t="shared" si="3"/>
        <v>0</v>
      </c>
      <c r="H66" s="86">
        <f t="shared" si="4"/>
        <v>0</v>
      </c>
      <c r="I66" s="36" t="str">
        <f t="shared" si="5"/>
        <v>⬜ Not Started</v>
      </c>
      <c r="J66" s="39"/>
    </row>
    <row r="67" spans="1:10" ht="24" customHeight="1" x14ac:dyDescent="0.3">
      <c r="A67" s="70"/>
      <c r="B67" s="40" t="s">
        <v>120</v>
      </c>
      <c r="C67" s="46" t="s">
        <v>142</v>
      </c>
      <c r="D67" s="42" t="s">
        <v>32</v>
      </c>
      <c r="E67" s="43">
        <v>30</v>
      </c>
      <c r="F67" s="75">
        <v>0</v>
      </c>
      <c r="G67" s="44">
        <f t="shared" si="3"/>
        <v>0</v>
      </c>
      <c r="H67" s="87">
        <f t="shared" si="4"/>
        <v>0</v>
      </c>
      <c r="I67" s="42" t="str">
        <f t="shared" si="5"/>
        <v>⬜ Not Started</v>
      </c>
      <c r="J67" s="45"/>
    </row>
    <row r="68" spans="1:10" ht="24" customHeight="1" x14ac:dyDescent="0.3">
      <c r="A68" s="70"/>
      <c r="B68" s="35" t="s">
        <v>121</v>
      </c>
      <c r="C68" s="46" t="s">
        <v>142</v>
      </c>
      <c r="D68" s="36" t="s">
        <v>32</v>
      </c>
      <c r="E68" s="37">
        <v>30</v>
      </c>
      <c r="F68" s="75">
        <v>0</v>
      </c>
      <c r="G68" s="38">
        <f t="shared" ref="G68:G99" si="6">IF(E68=0,0,MIN(F68/E68,1))</f>
        <v>0</v>
      </c>
      <c r="H68" s="86">
        <f t="shared" ref="H68:H99" si="7">G68</f>
        <v>0</v>
      </c>
      <c r="I68" s="36" t="str">
        <f t="shared" si="5"/>
        <v>⬜ Not Started</v>
      </c>
      <c r="J68" s="39"/>
    </row>
    <row r="69" spans="1:10" ht="24" customHeight="1" x14ac:dyDescent="0.3">
      <c r="A69" s="70"/>
      <c r="B69" s="40" t="s">
        <v>122</v>
      </c>
      <c r="C69" s="46" t="s">
        <v>142</v>
      </c>
      <c r="D69" s="42" t="s">
        <v>32</v>
      </c>
      <c r="E69" s="43">
        <v>30</v>
      </c>
      <c r="F69" s="75">
        <v>0</v>
      </c>
      <c r="G69" s="44">
        <f t="shared" si="6"/>
        <v>0</v>
      </c>
      <c r="H69" s="87">
        <f t="shared" si="7"/>
        <v>0</v>
      </c>
      <c r="I69" s="42" t="str">
        <f t="shared" si="5"/>
        <v>⬜ Not Started</v>
      </c>
      <c r="J69" s="45"/>
    </row>
    <row r="70" spans="1:10" ht="24" customHeight="1" x14ac:dyDescent="0.3">
      <c r="A70" s="71"/>
      <c r="B70" s="35" t="s">
        <v>123</v>
      </c>
      <c r="C70" s="46" t="s">
        <v>142</v>
      </c>
      <c r="D70" s="36" t="s">
        <v>32</v>
      </c>
      <c r="E70" s="37">
        <v>40</v>
      </c>
      <c r="F70" s="75">
        <v>0</v>
      </c>
      <c r="G70" s="38">
        <f t="shared" si="6"/>
        <v>0</v>
      </c>
      <c r="H70" s="86">
        <f t="shared" si="7"/>
        <v>0</v>
      </c>
      <c r="I70" s="36" t="str">
        <f t="shared" si="5"/>
        <v>⬜ Not Started</v>
      </c>
      <c r="J70" s="39"/>
    </row>
    <row r="72" spans="1:10" ht="21.75" customHeight="1" x14ac:dyDescent="0.3">
      <c r="B72" s="78"/>
      <c r="C72" s="78"/>
      <c r="D72" s="78"/>
      <c r="E72" s="78"/>
      <c r="F72" s="78"/>
      <c r="G72" s="78"/>
      <c r="H72" s="78"/>
      <c r="I72" s="78"/>
      <c r="J72" s="78"/>
    </row>
  </sheetData>
  <sheetProtection algorithmName="SHA-512" hashValue="cp7o6tswhOVvdoAOJhp2YygXRoO/W1VeyH1BtNyPE1p6F6dbWINEDgZNoNMWT0i6HZDpfUQWOy/tyHB6H11I4A==" saltValue="LYV2J4iWhFGoOnZdb/XpFA==" spinCount="100000" sheet="1" objects="1" scenarios="1" selectLockedCells="1"/>
  <mergeCells count="7">
    <mergeCell ref="A1:J1"/>
    <mergeCell ref="A50:A52"/>
    <mergeCell ref="A24:A49"/>
    <mergeCell ref="A4:A23"/>
    <mergeCell ref="A53:A60"/>
    <mergeCell ref="A61:A70"/>
    <mergeCell ref="A2:J2"/>
  </mergeCells>
  <conditionalFormatting sqref="G4:G70">
    <cfRule type="colorScale" priority="3">
      <colorScale>
        <cfvo type="num" val="0"/>
        <cfvo type="num" val="0.5"/>
        <cfvo type="num" val="1"/>
        <color rgb="FFFF6B6B"/>
        <color rgb="FFFFD93D"/>
        <color rgb="FF4CAF50"/>
      </colorScale>
    </cfRule>
  </conditionalFormatting>
  <conditionalFormatting sqref="H4:H70">
    <cfRule type="dataBar" priority="2">
      <dataBar>
        <cfvo type="num" val="0"/>
        <cfvo type="num" val="1"/>
        <color rgb="FF4CAF50"/>
      </dataBar>
      <extLst>
        <ext xmlns:x14="http://schemas.microsoft.com/office/spreadsheetml/2009/9/main" uri="{B025F937-C7B1-47D3-B67F-A62EFF666E3E}">
          <x14:id>{BB2887E7-2493-40A0-AB60-90FFBE8E77EE}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2887E7-2493-40A0-AB60-90FFBE8E77E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CAF50"/>
            </x14:dataBar>
          </x14:cfRule>
          <xm:sqref>H4:H70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78" zoomScaleNormal="100" workbookViewId="0">
      <pane ySplit="2" topLeftCell="A3" activePane="bottomLeft" state="frozen"/>
      <selection pane="bottomLeft" activeCell="F11" sqref="F11"/>
    </sheetView>
  </sheetViews>
  <sheetFormatPr defaultColWidth="8.6640625" defaultRowHeight="14.4" x14ac:dyDescent="0.3"/>
  <cols>
    <col min="1" max="1" width="14" customWidth="1"/>
    <col min="2" max="2" width="24" customWidth="1"/>
    <col min="3" max="3" width="72.33203125" customWidth="1"/>
    <col min="4" max="4" width="55.77734375" customWidth="1"/>
  </cols>
  <sheetData>
    <row r="1" spans="1:4" ht="36" customHeight="1" x14ac:dyDescent="0.3">
      <c r="A1" s="2" t="s">
        <v>136</v>
      </c>
      <c r="B1" s="2"/>
      <c r="C1" s="2"/>
      <c r="D1" s="2"/>
    </row>
    <row r="2" spans="1:4" ht="27.75" customHeight="1" x14ac:dyDescent="0.3">
      <c r="A2" s="9" t="s">
        <v>8</v>
      </c>
      <c r="B2" s="9" t="s">
        <v>9</v>
      </c>
      <c r="C2" s="9" t="s">
        <v>10</v>
      </c>
      <c r="D2" s="9" t="s">
        <v>11</v>
      </c>
    </row>
    <row r="3" spans="1:4" ht="60" customHeight="1" x14ac:dyDescent="0.3">
      <c r="A3" s="10" t="s">
        <v>12</v>
      </c>
      <c r="B3" s="11" t="s">
        <v>13</v>
      </c>
      <c r="C3" s="12" t="s">
        <v>14</v>
      </c>
      <c r="D3" s="13" t="s">
        <v>137</v>
      </c>
    </row>
    <row r="4" spans="1:4" ht="60" customHeight="1" x14ac:dyDescent="0.3">
      <c r="A4" s="10" t="s">
        <v>15</v>
      </c>
      <c r="B4" s="11" t="s">
        <v>13</v>
      </c>
      <c r="C4" s="12" t="s">
        <v>16</v>
      </c>
      <c r="D4" s="13" t="s">
        <v>17</v>
      </c>
    </row>
    <row r="5" spans="1:4" ht="60" customHeight="1" x14ac:dyDescent="0.3">
      <c r="A5" s="14" t="s">
        <v>18</v>
      </c>
      <c r="B5" s="15" t="s">
        <v>19</v>
      </c>
      <c r="C5" s="16" t="s">
        <v>20</v>
      </c>
      <c r="D5" s="17" t="s">
        <v>138</v>
      </c>
    </row>
    <row r="6" spans="1:4" ht="60" customHeight="1" x14ac:dyDescent="0.3">
      <c r="A6" s="14" t="s">
        <v>21</v>
      </c>
      <c r="B6" s="15" t="s">
        <v>22</v>
      </c>
      <c r="C6" s="16" t="s">
        <v>23</v>
      </c>
      <c r="D6" s="17" t="s">
        <v>139</v>
      </c>
    </row>
    <row r="7" spans="1:4" ht="60" customHeight="1" x14ac:dyDescent="0.3">
      <c r="A7" s="18" t="s">
        <v>24</v>
      </c>
      <c r="B7" s="19" t="s">
        <v>25</v>
      </c>
      <c r="C7" s="20" t="s">
        <v>26</v>
      </c>
      <c r="D7" s="21" t="s">
        <v>27</v>
      </c>
    </row>
    <row r="8" spans="1:4" ht="60" customHeight="1" x14ac:dyDescent="0.3">
      <c r="A8" s="18" t="s">
        <v>28</v>
      </c>
      <c r="B8" s="19" t="s">
        <v>29</v>
      </c>
      <c r="C8" s="20" t="s">
        <v>30</v>
      </c>
      <c r="D8" s="21" t="s">
        <v>31</v>
      </c>
    </row>
    <row r="9" spans="1:4" ht="60" customHeight="1" x14ac:dyDescent="0.3">
      <c r="A9" s="22" t="s">
        <v>32</v>
      </c>
      <c r="B9" s="23" t="s">
        <v>33</v>
      </c>
      <c r="C9" s="24" t="s">
        <v>34</v>
      </c>
      <c r="D9" s="25" t="s">
        <v>35</v>
      </c>
    </row>
    <row r="10" spans="1:4" ht="60" customHeight="1" x14ac:dyDescent="0.3">
      <c r="A10" s="26" t="s">
        <v>36</v>
      </c>
      <c r="B10" s="27" t="s">
        <v>37</v>
      </c>
      <c r="C10" s="28" t="s">
        <v>38</v>
      </c>
      <c r="D10" s="29" t="s">
        <v>39</v>
      </c>
    </row>
    <row r="11" spans="1:4" ht="60" customHeight="1" x14ac:dyDescent="0.3">
      <c r="A11" s="30" t="s">
        <v>40</v>
      </c>
      <c r="B11" s="31" t="s">
        <v>41</v>
      </c>
      <c r="C11" s="32" t="s">
        <v>42</v>
      </c>
      <c r="D11" s="33" t="s">
        <v>43</v>
      </c>
    </row>
  </sheetData>
  <sheetProtection algorithmName="SHA-512" hashValue="+1nPCvv/na/ilwWlsl2GQaGz8QUopx71roI1YYnaPRuvpBso154km2iit2sbej6dbnw3b0yAvJUQIPL5frgVwQ==" saltValue="0qIaV4vA8JkxdtoumuS/YQ==" spinCount="100000" sheet="1" objects="1" scenarios="1" selectLockedCells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>
      <pane ySplit="2" topLeftCell="A3" activePane="bottomLeft" state="frozen"/>
      <selection pane="bottomLeft" activeCell="J4" sqref="J4"/>
    </sheetView>
  </sheetViews>
  <sheetFormatPr defaultColWidth="8.6640625" defaultRowHeight="14.4" x14ac:dyDescent="0.3"/>
  <cols>
    <col min="1" max="1" width="26" customWidth="1"/>
    <col min="2" max="2" width="16" customWidth="1"/>
    <col min="3" max="3" width="14" customWidth="1"/>
    <col min="4" max="4" width="28" customWidth="1"/>
    <col min="5" max="5" width="18" customWidth="1"/>
  </cols>
  <sheetData>
    <row r="1" spans="1:5" ht="36" customHeight="1" x14ac:dyDescent="0.3">
      <c r="A1" s="79" t="s">
        <v>146</v>
      </c>
      <c r="B1" s="2"/>
      <c r="C1" s="2"/>
      <c r="D1" s="2"/>
      <c r="E1" s="2"/>
    </row>
    <row r="2" spans="1:5" ht="27.75" customHeight="1" x14ac:dyDescent="0.3">
      <c r="A2" s="49" t="s">
        <v>44</v>
      </c>
      <c r="B2" s="49" t="s">
        <v>124</v>
      </c>
      <c r="C2" s="49" t="s">
        <v>125</v>
      </c>
      <c r="D2" s="49" t="s">
        <v>49</v>
      </c>
      <c r="E2" s="49" t="s">
        <v>126</v>
      </c>
    </row>
    <row r="3" spans="1:5" ht="30" customHeight="1" x14ac:dyDescent="0.3">
      <c r="A3" s="34" t="s">
        <v>52</v>
      </c>
      <c r="B3" s="36">
        <v>20</v>
      </c>
      <c r="C3" s="38">
        <f>IFERROR(AVERAGE('Syllabus Tracker'!G4:G23),0)</f>
        <v>0</v>
      </c>
      <c r="D3" s="86">
        <f t="shared" ref="D3:D8" si="0">C3</f>
        <v>0</v>
      </c>
      <c r="E3" s="36">
        <f>COUNTIF('Syllabus Tracker'!G4:G23,1)</f>
        <v>0</v>
      </c>
    </row>
    <row r="4" spans="1:5" ht="30" customHeight="1" x14ac:dyDescent="0.3">
      <c r="A4" s="50" t="s">
        <v>73</v>
      </c>
      <c r="B4" s="51">
        <v>24</v>
      </c>
      <c r="C4" s="52">
        <f>IFERROR(AVERAGE('Syllabus Tracker'!G24:G47),0)</f>
        <v>0</v>
      </c>
      <c r="D4" s="88">
        <f t="shared" si="0"/>
        <v>0</v>
      </c>
      <c r="E4" s="51">
        <f>COUNTIF('Syllabus Tracker'!G24:G47,1)</f>
        <v>0</v>
      </c>
    </row>
    <row r="5" spans="1:5" ht="30" customHeight="1" x14ac:dyDescent="0.3">
      <c r="A5" s="47" t="s">
        <v>100</v>
      </c>
      <c r="B5" s="36">
        <v>3</v>
      </c>
      <c r="C5" s="38">
        <f>IFERROR(AVERAGE('Syllabus Tracker'!G48:G50),0)</f>
        <v>0</v>
      </c>
      <c r="D5" s="86">
        <f t="shared" si="0"/>
        <v>0</v>
      </c>
      <c r="E5" s="36">
        <f>COUNTIF('Syllabus Tracker'!G48:G50,1)</f>
        <v>0</v>
      </c>
    </row>
    <row r="6" spans="1:5" ht="30" customHeight="1" x14ac:dyDescent="0.3">
      <c r="A6" s="53" t="s">
        <v>104</v>
      </c>
      <c r="B6" s="51">
        <v>8</v>
      </c>
      <c r="C6" s="52">
        <f>IFERROR(AVERAGE('Syllabus Tracker'!G51:G58),0)</f>
        <v>0</v>
      </c>
      <c r="D6" s="88">
        <f t="shared" si="0"/>
        <v>0</v>
      </c>
      <c r="E6" s="51">
        <f>COUNTIF('Syllabus Tracker'!G51:G58,1)</f>
        <v>0</v>
      </c>
    </row>
    <row r="7" spans="1:5" ht="30" customHeight="1" x14ac:dyDescent="0.3">
      <c r="A7" s="48" t="s">
        <v>113</v>
      </c>
      <c r="B7" s="36">
        <v>10</v>
      </c>
      <c r="C7" s="38">
        <f>IFERROR(AVERAGE('Syllabus Tracker'!G59:G68),0)</f>
        <v>0</v>
      </c>
      <c r="D7" s="86">
        <f t="shared" si="0"/>
        <v>0</v>
      </c>
      <c r="E7" s="36">
        <f>COUNTIF('Syllabus Tracker'!G59:G68,1)</f>
        <v>0</v>
      </c>
    </row>
    <row r="8" spans="1:5" ht="31.5" customHeight="1" x14ac:dyDescent="0.3">
      <c r="A8" s="54" t="s">
        <v>127</v>
      </c>
      <c r="B8" s="55">
        <v>65</v>
      </c>
      <c r="C8" s="56">
        <f>IFERROR(AVERAGE('Syllabus Tracker'!G4:G70),0)</f>
        <v>0</v>
      </c>
      <c r="D8" s="56">
        <f t="shared" si="0"/>
        <v>0</v>
      </c>
      <c r="E8" s="55">
        <f>COUNTIF('Syllabus Tracker'!G4:G70,1)</f>
        <v>0</v>
      </c>
    </row>
  </sheetData>
  <sheetProtection algorithmName="SHA-512" hashValue="/zupssl39Q8UVTkyGnu4HhG6esM86Od3zypnjjWG869ZnkBaKt1Pr+oa6qennBRQF1d5A2EmoBKD0riQ/gs/7g==" saltValue="cmo8+JxMvI7VyVw3hkJZJw==" spinCount="100000" sheet="1" objects="1" scenarios="1" selectLockedCells="1"/>
  <mergeCells count="1">
    <mergeCell ref="A1:E1"/>
  </mergeCells>
  <conditionalFormatting sqref="C3:C7">
    <cfRule type="colorScale" priority="3">
      <colorScale>
        <cfvo type="num" val="0"/>
        <cfvo type="num" val="0.5"/>
        <cfvo type="num" val="1"/>
        <color rgb="FFFF6B6B"/>
        <color rgb="FFFFD93D"/>
        <color rgb="FF4CAF50"/>
      </colorScale>
    </cfRule>
  </conditionalFormatting>
  <conditionalFormatting sqref="D3:D7">
    <cfRule type="dataBar" priority="2">
      <dataBar>
        <cfvo type="num" val="0"/>
        <cfvo type="num" val="1"/>
        <color rgb="FF4CAF50"/>
      </dataBar>
      <extLst>
        <ext xmlns:x14="http://schemas.microsoft.com/office/spreadsheetml/2009/9/main" uri="{B025F937-C7B1-47D3-B67F-A62EFF666E3E}">
          <x14:id>{A080BFF5-53E0-40D3-B040-D31DE410E6A0}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80BFF5-53E0-40D3-B040-D31DE410E6A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CAF50"/>
            </x14:dataBar>
          </x14:cfRule>
          <xm:sqref>D3:D7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Syllabus Tracker</vt:lpstr>
      <vt:lpstr>Monthly Study Plan</vt:lpstr>
      <vt:lpstr>Progress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Jigar Parekh</cp:lastModifiedBy>
  <cp:revision>0</cp:revision>
  <dcterms:created xsi:type="dcterms:W3CDTF">2026-07-08T10:25:57Z</dcterms:created>
  <dcterms:modified xsi:type="dcterms:W3CDTF">2026-07-08T12:27:10Z</dcterms:modified>
  <dc:language>en-US</dc:language>
</cp:coreProperties>
</file>