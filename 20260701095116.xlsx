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gar\Downloads\"/>
    </mc:Choice>
  </mc:AlternateContent>
  <xr:revisionPtr revIDLastSave="0" documentId="13_ncr:1_{C06592EF-A79E-4787-BFAA-F85887BE79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table" sheetId="1" r:id="rId1"/>
    <sheet name="Mock Tracking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2" l="1"/>
  <c r="S17" i="2"/>
  <c r="S16" i="2"/>
  <c r="S15" i="2"/>
  <c r="S14" i="2"/>
  <c r="S13" i="2"/>
  <c r="S12" i="2"/>
  <c r="S11" i="2"/>
  <c r="S10" i="2"/>
  <c r="T10" i="2" s="1"/>
  <c r="S9" i="2"/>
  <c r="T9" i="2" s="1"/>
  <c r="S8" i="2"/>
  <c r="T8" i="2" s="1"/>
  <c r="S7" i="2"/>
  <c r="T7" i="2" s="1"/>
  <c r="S6" i="2"/>
  <c r="T6" i="2" s="1"/>
  <c r="S5" i="2"/>
  <c r="T5" i="2" s="1"/>
  <c r="T18" i="2"/>
  <c r="T17" i="2"/>
  <c r="T16" i="2"/>
  <c r="T15" i="2"/>
  <c r="T14" i="2"/>
  <c r="T13" i="2"/>
  <c r="T12" i="2"/>
  <c r="T11" i="2"/>
  <c r="T4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N4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J4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S4" i="2"/>
</calcChain>
</file>

<file path=xl/sharedStrings.xml><?xml version="1.0" encoding="utf-8"?>
<sst xmlns="http://schemas.openxmlformats.org/spreadsheetml/2006/main" count="329" uniqueCount="167">
  <si>
    <t>TIME</t>
  </si>
  <si>
    <t>Unlock Free Resources</t>
  </si>
  <si>
    <t>Date</t>
  </si>
  <si>
    <t>8:00-9:30 QA</t>
  </si>
  <si>
    <t>9:30-10 Speed Maths</t>
  </si>
  <si>
    <t>10:30-12:30 LR/DI</t>
  </si>
  <si>
    <t>2:00-3:30 VA/RC</t>
  </si>
  <si>
    <t>3:30-4:30 CR</t>
  </si>
  <si>
    <t>5:30-7 Revision</t>
  </si>
  <si>
    <t>9:00-10 Light</t>
  </si>
  <si>
    <t>Daily Speed Maths Test</t>
  </si>
  <si>
    <t>https://student.crackeverytest.com/student/dashboard</t>
  </si>
  <si>
    <t>Percentages &amp; Averages
10 questions</t>
  </si>
  <si>
    <t>Speed Maths Test</t>
  </si>
  <si>
    <t>Circular 
2–4 sets</t>
  </si>
  <si>
    <t>1 RC
1 passage (8–10 Qs)</t>
  </si>
  <si>
    <t>Assumptions
12 Qs</t>
  </si>
  <si>
    <t>Weak Areas
15 Qs</t>
  </si>
  <si>
    <t xml:space="preserve">Vocab
Refer sheet by Crack Every Test </t>
  </si>
  <si>
    <t>Daily Vocabulary Test</t>
  </si>
  <si>
    <t>Ratio &amp; SI-CI
20 Qs</t>
  </si>
  <si>
    <t>Linear
2 sets</t>
  </si>
  <si>
    <t>Parajumbles
5 Qs</t>
  </si>
  <si>
    <t>Conclusions
12 Qs</t>
  </si>
  <si>
    <t>Formula Revision
no solving</t>
  </si>
  <si>
    <t>Idioms
Refer by Crack Every Test</t>
  </si>
  <si>
    <t>Free MBA CET PYQs</t>
  </si>
  <si>
    <t>https://student.crackeverytest.com/student/test/</t>
  </si>
  <si>
    <t>Profit &amp; Loss
20 Qs</t>
  </si>
  <si>
    <t>Floor Puzzle
2 sets</t>
  </si>
  <si>
    <t>Sentence Correction
10 Qs</t>
  </si>
  <si>
    <t>Cause-Effect
12 Qs</t>
  </si>
  <si>
    <t>LR Basics
15 Qs</t>
  </si>
  <si>
    <t>Formulae
Revision</t>
  </si>
  <si>
    <t>Free ProCET Mock Test</t>
  </si>
  <si>
    <t>Mixtures
20 Qs</t>
  </si>
  <si>
    <t>Tabular DI
2 sets</t>
  </si>
  <si>
    <t>Grammar
15 Qs</t>
  </si>
  <si>
    <t>CR Mixed
12 Qs</t>
  </si>
  <si>
    <t>QA Revision
15 Qs</t>
  </si>
  <si>
    <t xml:space="preserve">Grammar Rules
</t>
  </si>
  <si>
    <t>Free Advanced Mock Test</t>
  </si>
  <si>
    <t>Time Speed Distance
20 Qs</t>
  </si>
  <si>
    <t>Caselet DI
2 sets</t>
  </si>
  <si>
    <t>RC+VA Mix
1 RC 5 VA</t>
  </si>
  <si>
    <t>Assumptions 
12 Qs</t>
  </si>
  <si>
    <t>Mixed Revision
15 Qs</t>
  </si>
  <si>
    <t>Vocab 20 Questions 
from Crack Every Test sheet</t>
  </si>
  <si>
    <t>Geometry
20 Qs</t>
  </si>
  <si>
    <t>Mixed DI
3 sets</t>
  </si>
  <si>
    <t>RC
1 passage</t>
  </si>
  <si>
    <t>Idioms
10 idioms from Crack Every Test sheet</t>
  </si>
  <si>
    <t>Crazy OFFERS!</t>
  </si>
  <si>
    <t>Mensuration
20 Qs</t>
  </si>
  <si>
    <t>Selection Criteria
2 sets</t>
  </si>
  <si>
    <t>Formula Revision</t>
  </si>
  <si>
    <t>Formulae Revision</t>
  </si>
  <si>
    <t>Quadratic Eq
20 Qs</t>
  </si>
  <si>
    <t>Input Output
2 sets</t>
  </si>
  <si>
    <t>Grammar Rules
Basics</t>
  </si>
  <si>
    <t>Road To JBIMS Batch</t>
  </si>
  <si>
    <t>Linear Eq
20 Qs</t>
  </si>
  <si>
    <t>Advanced Circular
2 sets</t>
  </si>
  <si>
    <t>Toppers Accelerator Batch</t>
  </si>
  <si>
    <t>Arithmetic Rev
25 Qs</t>
  </si>
  <si>
    <t>Mixed Puzzles
3 sets</t>
  </si>
  <si>
    <t>Percentages &amp; Averages
25 Qs</t>
  </si>
  <si>
    <t>Circular
3 sets mixed</t>
  </si>
  <si>
    <t>RC
2 passages</t>
  </si>
  <si>
    <t>Parajumbles
10 Qs</t>
  </si>
  <si>
    <t xml:space="preserve">CR Mixed
3 sets </t>
  </si>
  <si>
    <t>Grammar Rules</t>
  </si>
  <si>
    <t>Profit &amp; Loss
25 Qs</t>
  </si>
  <si>
    <t xml:space="preserve">Floor based puzzles
2 sets </t>
  </si>
  <si>
    <t xml:space="preserve">VocabRefer sheet 
by Crack Every Test </t>
  </si>
  <si>
    <t>Mixtures
25 Qs</t>
  </si>
  <si>
    <t>Tabular DI
3 sets</t>
  </si>
  <si>
    <t>Grammar
20 Qs</t>
  </si>
  <si>
    <t>QA Revision
light revision</t>
  </si>
  <si>
    <t>Idioms
15 idioms from Crack Every Test sheet</t>
  </si>
  <si>
    <t>Caselet DI
3 sets</t>
  </si>
  <si>
    <t>RC+VA Mix
2 passages 5 VA</t>
  </si>
  <si>
    <t>Mixed Revision</t>
  </si>
  <si>
    <t>Formulae</t>
  </si>
  <si>
    <t>Geometry
25 Qs</t>
  </si>
  <si>
    <t>Mixed DI
4 sets</t>
  </si>
  <si>
    <t>Mensuration
30 Qs</t>
  </si>
  <si>
    <t>Selection Criteria
3 sets</t>
  </si>
  <si>
    <t>Assumptions
15 Qs</t>
  </si>
  <si>
    <t>Quadratic Eq
30 Qs</t>
  </si>
  <si>
    <t>Sentence Correction
15 Qs</t>
  </si>
  <si>
    <t>Linear Eq
25 Qs</t>
  </si>
  <si>
    <t xml:space="preserve">Advanced Circular
3 sets </t>
  </si>
  <si>
    <t>QA Revision
20 Qs</t>
  </si>
  <si>
    <t>Arithmetic Rev
30 Qs</t>
  </si>
  <si>
    <t>RC+VA Mix
3 passages 5 VA</t>
  </si>
  <si>
    <t>CR Mixed
15 Qs</t>
  </si>
  <si>
    <t>Mixed Revision
20 Qs each</t>
  </si>
  <si>
    <t>Percentages &amp; Averages
10 percentages 10 averages</t>
  </si>
  <si>
    <t>Circular
2 sets</t>
  </si>
  <si>
    <t>Ratio &amp; SI-CI
15 Qs each</t>
  </si>
  <si>
    <t>Parajumbles
15 Qs</t>
  </si>
  <si>
    <t>Conclusions
15 Qs</t>
  </si>
  <si>
    <t>Profit &amp; Loss
15 Qs</t>
  </si>
  <si>
    <t>Floor
2 sets</t>
  </si>
  <si>
    <t>Cause-Effect
15 Qs</t>
  </si>
  <si>
    <t>Geometry
15 Qs</t>
  </si>
  <si>
    <t>Weak Areas
20 Qs</t>
  </si>
  <si>
    <t>Selection Criteria
12 Qs</t>
  </si>
  <si>
    <t>LR Basics
20 Qs</t>
  </si>
  <si>
    <t>Linear Eq
30 Qs</t>
  </si>
  <si>
    <t>Assumptions
10 Qs</t>
  </si>
  <si>
    <t>Arithmetic Rev
20 Qs</t>
  </si>
  <si>
    <t>Mixed Puzzles</t>
  </si>
  <si>
    <t>RC+VA Mix</t>
  </si>
  <si>
    <t>Conclusions</t>
  </si>
  <si>
    <t>Percentages, Ratio
light questions</t>
  </si>
  <si>
    <t>2 easy–moderate sets</t>
  </si>
  <si>
    <t>1 RC 5 Parajumbles
5 Sentence correction</t>
  </si>
  <si>
    <t>LAST MOCK</t>
  </si>
  <si>
    <t>Light Revision
Grammar Rules</t>
  </si>
  <si>
    <t>-</t>
  </si>
  <si>
    <t>EXAM DAY</t>
  </si>
  <si>
    <t>Total Score</t>
  </si>
  <si>
    <t>Remarks</t>
  </si>
  <si>
    <t>Mock Name</t>
  </si>
  <si>
    <t>Crack Every Test ProCET Advanced 1</t>
  </si>
  <si>
    <t>Crack Every Test ProCET Advanced 2</t>
  </si>
  <si>
    <t>Crack Every Test ProCET Advanced 3</t>
  </si>
  <si>
    <t>Crack Every Test ProCET Advanced 4</t>
  </si>
  <si>
    <t>Crack Every Test ProCET Advanced 5</t>
  </si>
  <si>
    <t>Crack Every Test ProCET Advanced 6</t>
  </si>
  <si>
    <t>Crack Every Test ProCET Advanced 7</t>
  </si>
  <si>
    <t>MPM</t>
  </si>
  <si>
    <t>QA</t>
  </si>
  <si>
    <t>Attempts</t>
  </si>
  <si>
    <t>Score</t>
  </si>
  <si>
    <t>Time</t>
  </si>
  <si>
    <t>Overall MPM</t>
  </si>
  <si>
    <t>LR</t>
  </si>
  <si>
    <t>VA</t>
  </si>
  <si>
    <t>Abstract</t>
  </si>
  <si>
    <t>P.S. Only Edit the Star Marked Fields</t>
  </si>
  <si>
    <t>—</t>
  </si>
  <si>
    <t>Success Jam – 1 PM
Topic: 👉 “Attempt 1 Analysis: What Went Wrong &amp; How to Recover”</t>
  </si>
  <si>
    <t>Advanced ProCET 9 – Target 145</t>
  </si>
  <si>
    <t>Success Jam – 1 PM
Topic: 👉 “Attempt 2 Strategy: How to Improve 10–20 Marks”</t>
  </si>
  <si>
    <t>Success Jam – 1 PM
Topic: 👉 “Mock Strategy + High-Impact Revision for Attempt 2”</t>
  </si>
  <si>
    <t>Success Jam – 1 PM
Topic: 👉 “Final Push: Attempt 2 Strategy, Accuracy Fix &amp; Mental Game</t>
  </si>
  <si>
    <t>Advanced ProCET 10 – Target 150</t>
  </si>
  <si>
    <t>Success Jam - 1 PM
Topic: 👉 “How to Maximise Score in My Final CET Attempt"</t>
  </si>
  <si>
    <t>Mock/Live Session</t>
  </si>
  <si>
    <t>This timetable works best when paired with Score Maximizer Course, Crack Every Test's daily guidance, mock analysis, and elimination strategies.</t>
  </si>
  <si>
    <t>Use Code: CETScoreMax &amp; Get Rs. 2500/- off on CET Score Maximizer Packages</t>
  </si>
  <si>
    <r>
      <rPr>
        <b/>
        <sz val="16"/>
        <color theme="1"/>
        <rFont val="Calibri"/>
        <family val="2"/>
      </rPr>
      <t xml:space="preserve">15 Full Length Mock Series
</t>
    </r>
    <r>
      <rPr>
        <sz val="16"/>
        <color theme="1"/>
        <rFont val="Calibri"/>
        <family val="2"/>
      </rPr>
      <t>10 ProCET Advanced Mock Test
4 PYQs as Mocks
1 ProCET Mock</t>
    </r>
  </si>
  <si>
    <r>
      <rPr>
        <b/>
        <strike/>
        <sz val="16"/>
        <color theme="1"/>
        <rFont val="Calibri"/>
        <family val="2"/>
      </rPr>
      <t>From Rs.1200</t>
    </r>
    <r>
      <rPr>
        <b/>
        <sz val="16"/>
        <color theme="1"/>
        <rFont val="Calibri"/>
        <family val="2"/>
      </rPr>
      <t xml:space="preserve"> Rs. 750/-</t>
    </r>
  </si>
  <si>
    <r>
      <rPr>
        <b/>
        <strike/>
        <sz val="16"/>
        <color theme="1"/>
        <rFont val="Calibri"/>
        <family val="2"/>
      </rPr>
      <t xml:space="preserve">From Rs. 7999/- </t>
    </r>
    <r>
      <rPr>
        <b/>
        <sz val="16"/>
        <color theme="1"/>
        <rFont val="Calibri"/>
        <family val="2"/>
      </rPr>
      <t>Rs. 4499/-</t>
    </r>
  </si>
  <si>
    <r>
      <rPr>
        <b/>
        <strike/>
        <sz val="16"/>
        <color theme="1"/>
        <rFont val="Calibri"/>
        <family val="2"/>
      </rPr>
      <t>From Rs. 5999/-</t>
    </r>
    <r>
      <rPr>
        <b/>
        <sz val="16"/>
        <color theme="1"/>
        <rFont val="Calibri"/>
        <family val="2"/>
      </rPr>
      <t xml:space="preserve"> Rs. 2499/-</t>
    </r>
  </si>
  <si>
    <r>
      <rPr>
        <b/>
        <sz val="20"/>
        <rFont val="Calibri"/>
        <family val="2"/>
      </rPr>
      <t xml:space="preserve">To Join: +91 79770 41874
Website: </t>
    </r>
    <r>
      <rPr>
        <b/>
        <u/>
        <sz val="20"/>
        <color rgb="FF1155CC"/>
        <rFont val="Calibri"/>
        <family val="2"/>
      </rPr>
      <t>www.crackeverytest.com</t>
    </r>
  </si>
  <si>
    <t>Crack Every Test ProCET Advanced 8</t>
  </si>
  <si>
    <t>Crack Every Test ProCET Advanced 9</t>
  </si>
  <si>
    <t>Crack Every Test ProCET Advanced 10</t>
  </si>
  <si>
    <t>CET 2025 PYQ 1</t>
  </si>
  <si>
    <t>CET 2025 PYQ 2</t>
  </si>
  <si>
    <t>CET 2024 PYQ 1</t>
  </si>
  <si>
    <t>CET 2024 PYQ 2</t>
  </si>
  <si>
    <t>Crack Every Test ProCET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</si>
</sst>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2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0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Arial"/>
      <family val="2"/>
      <scheme val="minor"/>
    </font>
    <font>
      <b/>
      <sz val="18"/>
      <color rgb="FF000000"/>
      <name val="Calibri"/>
      <family val="2"/>
    </font>
    <font>
      <sz val="14"/>
      <color rgb="FF000000"/>
      <name val="Arial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sz val="16"/>
      <name val="Calibri"/>
      <family val="2"/>
    </font>
    <font>
      <sz val="16"/>
      <color theme="1"/>
      <name val="Calibri"/>
      <family val="2"/>
    </font>
    <font>
      <u/>
      <sz val="16"/>
      <color rgb="FF0000FF"/>
      <name val="Calibri"/>
      <family val="2"/>
    </font>
    <font>
      <b/>
      <strike/>
      <sz val="16"/>
      <color theme="1"/>
      <name val="Calibri"/>
      <family val="2"/>
    </font>
    <font>
      <b/>
      <u/>
      <sz val="20"/>
      <color rgb="FF0000FF"/>
      <name val="Calibri"/>
      <family val="2"/>
    </font>
    <font>
      <b/>
      <sz val="20"/>
      <name val="Calibri"/>
      <family val="2"/>
    </font>
    <font>
      <b/>
      <u/>
      <sz val="20"/>
      <color rgb="FF1155CC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FE599"/>
      </patternFill>
    </fill>
    <fill>
      <patternFill patternType="solid">
        <fgColor rgb="FF38761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38761D"/>
        <bgColor rgb="FFFFE5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FFE599"/>
      </patternFill>
    </fill>
    <fill>
      <patternFill patternType="solid">
        <fgColor rgb="FF3C78D8"/>
        <bgColor rgb="FFFFE599"/>
      </patternFill>
    </fill>
    <fill>
      <patternFill patternType="solid">
        <fgColor rgb="FFCFE2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EF733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3" fillId="9" borderId="15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12" borderId="15" xfId="0" applyFont="1" applyFill="1" applyBorder="1" applyAlignment="1" applyProtection="1">
      <alignment horizontal="center" vertical="center"/>
      <protection locked="0"/>
    </xf>
    <xf numFmtId="0" fontId="1" fillId="12" borderId="1" xfId="0" applyFont="1" applyFill="1" applyBorder="1" applyAlignment="1" applyProtection="1">
      <alignment horizontal="center" vertical="center"/>
      <protection locked="0"/>
    </xf>
    <xf numFmtId="0" fontId="1" fillId="12" borderId="16" xfId="0" applyFont="1" applyFill="1" applyBorder="1" applyAlignment="1">
      <alignment horizontal="center" vertical="center"/>
    </xf>
    <xf numFmtId="0" fontId="1" fillId="12" borderId="17" xfId="0" applyFont="1" applyFill="1" applyBorder="1" applyAlignment="1" applyProtection="1">
      <alignment horizontal="center" vertical="center"/>
      <protection locked="0"/>
    </xf>
    <xf numFmtId="0" fontId="1" fillId="12" borderId="18" xfId="0" applyFont="1" applyFill="1" applyBorder="1" applyAlignment="1" applyProtection="1">
      <alignment horizontal="center" vertical="center"/>
      <protection locked="0"/>
    </xf>
    <xf numFmtId="0" fontId="1" fillId="12" borderId="19" xfId="0" applyFont="1" applyFill="1" applyBorder="1" applyAlignment="1">
      <alignment horizontal="center" vertical="center"/>
    </xf>
    <xf numFmtId="0" fontId="13" fillId="15" borderId="15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" fillId="13" borderId="15" xfId="0" applyFont="1" applyFill="1" applyBorder="1" applyAlignment="1" applyProtection="1">
      <alignment horizontal="center" vertical="center"/>
      <protection locked="0"/>
    </xf>
    <xf numFmtId="0" fontId="1" fillId="13" borderId="1" xfId="0" applyFont="1" applyFill="1" applyBorder="1" applyAlignment="1" applyProtection="1">
      <alignment horizontal="center" vertical="center"/>
      <protection locked="0"/>
    </xf>
    <xf numFmtId="0" fontId="1" fillId="13" borderId="17" xfId="0" applyFont="1" applyFill="1" applyBorder="1" applyAlignment="1" applyProtection="1">
      <alignment horizontal="center" vertical="center"/>
      <protection locked="0"/>
    </xf>
    <xf numFmtId="0" fontId="1" fillId="13" borderId="18" xfId="0" applyFont="1" applyFill="1" applyBorder="1" applyAlignment="1" applyProtection="1">
      <alignment horizontal="center" vertical="center"/>
      <protection locked="0"/>
    </xf>
    <xf numFmtId="0" fontId="1" fillId="13" borderId="16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6" borderId="15" xfId="0" applyFont="1" applyFill="1" applyBorder="1" applyAlignment="1" applyProtection="1">
      <alignment horizontal="center" vertical="center"/>
      <protection locked="0"/>
    </xf>
    <xf numFmtId="0" fontId="1" fillId="16" borderId="1" xfId="0" applyFont="1" applyFill="1" applyBorder="1" applyAlignment="1" applyProtection="1">
      <alignment horizontal="center" vertical="center"/>
      <protection locked="0"/>
    </xf>
    <xf numFmtId="0" fontId="1" fillId="16" borderId="16" xfId="0" applyFont="1" applyFill="1" applyBorder="1" applyAlignment="1">
      <alignment horizontal="center" vertical="center"/>
    </xf>
    <xf numFmtId="0" fontId="1" fillId="16" borderId="17" xfId="0" applyFont="1" applyFill="1" applyBorder="1" applyAlignment="1" applyProtection="1">
      <alignment horizontal="center" vertical="center"/>
      <protection locked="0"/>
    </xf>
    <xf numFmtId="0" fontId="1" fillId="16" borderId="18" xfId="0" applyFont="1" applyFill="1" applyBorder="1" applyAlignment="1" applyProtection="1">
      <alignment horizontal="center" vertical="center"/>
      <protection locked="0"/>
    </xf>
    <xf numFmtId="0" fontId="1" fillId="16" borderId="19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3" fillId="18" borderId="16" xfId="0" applyFont="1" applyFill="1" applyBorder="1" applyAlignment="1">
      <alignment horizontal="center" vertical="center"/>
    </xf>
    <xf numFmtId="0" fontId="1" fillId="14" borderId="15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7" xfId="0" applyFont="1" applyFill="1" applyBorder="1" applyAlignment="1" applyProtection="1">
      <alignment horizontal="center" vertical="center"/>
      <protection locked="0"/>
    </xf>
    <xf numFmtId="0" fontId="1" fillId="14" borderId="18" xfId="0" applyFont="1" applyFill="1" applyBorder="1" applyAlignment="1" applyProtection="1">
      <alignment horizontal="center" vertical="center"/>
      <protection locked="0"/>
    </xf>
    <xf numFmtId="0" fontId="13" fillId="19" borderId="15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20" borderId="27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21" borderId="27" xfId="0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6" fillId="6" borderId="6" xfId="0" applyFont="1" applyFill="1" applyBorder="1" applyAlignment="1" applyProtection="1">
      <alignment horizontal="center" vertical="center" wrapText="1"/>
      <protection locked="0"/>
    </xf>
    <xf numFmtId="0" fontId="26" fillId="6" borderId="12" xfId="0" applyFont="1" applyFill="1" applyBorder="1" applyAlignment="1" applyProtection="1">
      <alignment horizontal="center" vertical="center" wrapText="1"/>
      <protection locked="0"/>
    </xf>
    <xf numFmtId="0" fontId="26" fillId="6" borderId="7" xfId="0" applyFont="1" applyFill="1" applyBorder="1" applyAlignment="1" applyProtection="1">
      <alignment horizontal="center" vertical="center" wrapText="1"/>
      <protection locked="0"/>
    </xf>
    <xf numFmtId="0" fontId="26" fillId="6" borderId="8" xfId="0" applyFont="1" applyFill="1" applyBorder="1" applyAlignment="1" applyProtection="1">
      <alignment horizontal="center" vertical="center" wrapText="1"/>
      <protection locked="0"/>
    </xf>
    <xf numFmtId="0" fontId="26" fillId="6" borderId="0" xfId="0" applyFont="1" applyFill="1" applyAlignment="1" applyProtection="1">
      <alignment horizontal="center" vertical="center" wrapText="1"/>
      <protection locked="0"/>
    </xf>
    <xf numFmtId="0" fontId="26" fillId="6" borderId="9" xfId="0" applyFont="1" applyFill="1" applyBorder="1" applyAlignment="1" applyProtection="1">
      <alignment horizontal="center" vertical="center" wrapText="1"/>
      <protection locked="0"/>
    </xf>
    <xf numFmtId="0" fontId="26" fillId="6" borderId="10" xfId="0" applyFont="1" applyFill="1" applyBorder="1" applyAlignment="1" applyProtection="1">
      <alignment horizontal="center" vertical="center" wrapText="1"/>
      <protection locked="0"/>
    </xf>
    <xf numFmtId="0" fontId="26" fillId="6" borderId="41" xfId="0" applyFont="1" applyFill="1" applyBorder="1" applyAlignment="1" applyProtection="1">
      <alignment horizontal="center" vertical="center" wrapText="1"/>
      <protection locked="0"/>
    </xf>
    <xf numFmtId="0" fontId="26" fillId="6" borderId="11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17" borderId="6" xfId="0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15" fillId="21" borderId="28" xfId="0" applyFont="1" applyFill="1" applyBorder="1" applyAlignment="1">
      <alignment horizontal="center" vertical="center" wrapText="1"/>
    </xf>
    <xf numFmtId="0" fontId="15" fillId="21" borderId="0" xfId="0" applyFont="1" applyFill="1" applyAlignment="1">
      <alignment horizontal="center" vertical="center" wrapText="1"/>
    </xf>
    <xf numFmtId="0" fontId="15" fillId="21" borderId="29" xfId="0" applyFont="1" applyFill="1" applyBorder="1" applyAlignment="1">
      <alignment horizontal="center" vertical="center" wrapText="1"/>
    </xf>
    <xf numFmtId="0" fontId="16" fillId="22" borderId="28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 wrapText="1"/>
    </xf>
    <xf numFmtId="0" fontId="16" fillId="22" borderId="29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 applyProtection="1">
      <alignment horizontal="center" vertical="center"/>
    </xf>
    <xf numFmtId="0" fontId="1" fillId="14" borderId="2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C78D8"/>
      <color rgb="FFC9DAF8"/>
      <color rgb="FFFFF2CC"/>
      <color rgb="FF38761D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1.png"/><Relationship Id="rId4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1590760</xdr:colOff>
      <xdr:row>3</xdr:row>
      <xdr:rowOff>77925</xdr:rowOff>
    </xdr:from>
    <xdr:to>
      <xdr:col>6</xdr:col>
      <xdr:colOff>1197984</xdr:colOff>
      <xdr:row>19</xdr:row>
      <xdr:rowOff>1948</xdr:rowOff>
    </xdr:to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7D46F174-7CC4-DF28-7169-2326F2609E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alphaModFix amt="20000"/>
        </a:blip>
        <a:stretch>
          <a:fillRect/>
        </a:stretch>
      </xdr:blipFill>
      <xdr:spPr>
        <a:xfrm>
          <a:off x="4448260" y="1420496"/>
          <a:ext cx="7771510" cy="7952238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1590760</xdr:colOff>
      <xdr:row>22</xdr:row>
      <xdr:rowOff>751303</xdr:rowOff>
    </xdr:from>
    <xdr:to>
      <xdr:col>6</xdr:col>
      <xdr:colOff>1197984</xdr:colOff>
      <xdr:row>37</xdr:row>
      <xdr:rowOff>811398</xdr:rowOff>
    </xdr:to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2DE81990-AB20-80C6-09A2-41C8F99CAF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alphaModFix amt="20000"/>
        </a:blip>
        <a:stretch>
          <a:fillRect/>
        </a:stretch>
      </xdr:blipFill>
      <xdr:spPr>
        <a:xfrm>
          <a:off x="4448260" y="11516996"/>
          <a:ext cx="7771510" cy="7952238"/>
        </a:xfrm>
        <a:prstGeom prst="rect">
          <a:avLst/>
        </a:prstGeom>
        <a:noFill/>
      </xdr:spPr>
    </xdr:pic>
    <xdr:clientData/>
  </xdr:twoCellAnchor>
  <xdr:twoCellAnchor editAs="absolute">
    <xdr:from>
      <xdr:col>10</xdr:col>
      <xdr:colOff>1365095</xdr:colOff>
      <xdr:row>26</xdr:row>
      <xdr:rowOff>298295</xdr:rowOff>
    </xdr:from>
    <xdr:to>
      <xdr:col>11</xdr:col>
      <xdr:colOff>5145771</xdr:colOff>
      <xdr:row>37</xdr:row>
      <xdr:rowOff>912438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DF3310-F19F-7C53-64F8-F4E3FF5BC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4962" y="13336962"/>
          <a:ext cx="5914276" cy="5914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1679053</xdr:colOff>
      <xdr:row>2</xdr:row>
      <xdr:rowOff>72052</xdr:rowOff>
    </xdr:from>
    <xdr:to>
      <xdr:col>1</xdr:col>
      <xdr:colOff>1897953</xdr:colOff>
      <xdr:row>2</xdr:row>
      <xdr:rowOff>288718</xdr:rowOff>
    </xdr:to>
    <xdr:pic>
      <xdr:nvPicPr>
        <xdr:cNvPr id="3" name="Graphic 2" descr="Star with solid fill">
          <a:extLst>
            <a:ext uri="{FF2B5EF4-FFF2-40B4-BE49-F238E27FC236}">
              <a16:creationId xmlns:a16="http://schemas.microsoft.com/office/drawing/2014/main" id="{A3D08F3F-4F8A-A9FC-BB3A-465C6892E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17253" y="613072"/>
          <a:ext cx="218900" cy="216666"/>
        </a:xfrm>
        <a:prstGeom prst="rect">
          <a:avLst/>
        </a:prstGeom>
      </xdr:spPr>
    </xdr:pic>
    <xdr:clientData/>
  </xdr:twoCellAnchor>
  <xdr:twoCellAnchor editAs="oneCell">
    <xdr:from>
      <xdr:col>0</xdr:col>
      <xdr:colOff>619627</xdr:colOff>
      <xdr:row>2</xdr:row>
      <xdr:rowOff>64432</xdr:rowOff>
    </xdr:from>
    <xdr:to>
      <xdr:col>1</xdr:col>
      <xdr:colOff>1821</xdr:colOff>
      <xdr:row>2</xdr:row>
      <xdr:rowOff>281098</xdr:rowOff>
    </xdr:to>
    <xdr:pic>
      <xdr:nvPicPr>
        <xdr:cNvPr id="4" name="Graphic 3" descr="Star with solid fill">
          <a:extLst>
            <a:ext uri="{FF2B5EF4-FFF2-40B4-BE49-F238E27FC236}">
              <a16:creationId xmlns:a16="http://schemas.microsoft.com/office/drawing/2014/main" id="{01922DC8-6DED-E8E8-15CB-31DB5A60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627" y="605452"/>
          <a:ext cx="220394" cy="216666"/>
        </a:xfrm>
        <a:prstGeom prst="rect">
          <a:avLst/>
        </a:prstGeom>
      </xdr:spPr>
    </xdr:pic>
    <xdr:clientData/>
  </xdr:twoCellAnchor>
  <xdr:twoCellAnchor editAs="oneCell">
    <xdr:from>
      <xdr:col>2</xdr:col>
      <xdr:colOff>813517</xdr:colOff>
      <xdr:row>2</xdr:row>
      <xdr:rowOff>115823</xdr:rowOff>
    </xdr:from>
    <xdr:to>
      <xdr:col>2</xdr:col>
      <xdr:colOff>949437</xdr:colOff>
      <xdr:row>2</xdr:row>
      <xdr:rowOff>250356</xdr:rowOff>
    </xdr:to>
    <xdr:pic>
      <xdr:nvPicPr>
        <xdr:cNvPr id="5" name="Graphic 4" descr="Star with solid fill">
          <a:extLst>
            <a:ext uri="{FF2B5EF4-FFF2-40B4-BE49-F238E27FC236}">
              <a16:creationId xmlns:a16="http://schemas.microsoft.com/office/drawing/2014/main" id="{8BA8785F-E5D9-5874-BD70-A0BC90F8C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09001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3</xdr:col>
      <xdr:colOff>764356</xdr:colOff>
      <xdr:row>2</xdr:row>
      <xdr:rowOff>115823</xdr:rowOff>
    </xdr:from>
    <xdr:to>
      <xdr:col>3</xdr:col>
      <xdr:colOff>900276</xdr:colOff>
      <xdr:row>2</xdr:row>
      <xdr:rowOff>250356</xdr:rowOff>
    </xdr:to>
    <xdr:pic>
      <xdr:nvPicPr>
        <xdr:cNvPr id="6" name="Graphic 5" descr="Star with solid fill">
          <a:extLst>
            <a:ext uri="{FF2B5EF4-FFF2-40B4-BE49-F238E27FC236}">
              <a16:creationId xmlns:a16="http://schemas.microsoft.com/office/drawing/2014/main" id="{F0C42DF8-713C-5FA7-A95F-44E13BB8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43066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4</xdr:col>
      <xdr:colOff>700447</xdr:colOff>
      <xdr:row>2</xdr:row>
      <xdr:rowOff>115823</xdr:rowOff>
    </xdr:from>
    <xdr:to>
      <xdr:col>4</xdr:col>
      <xdr:colOff>836367</xdr:colOff>
      <xdr:row>2</xdr:row>
      <xdr:rowOff>250356</xdr:rowOff>
    </xdr:to>
    <xdr:pic>
      <xdr:nvPicPr>
        <xdr:cNvPr id="7" name="Graphic 6" descr="Star with solid fill">
          <a:extLst>
            <a:ext uri="{FF2B5EF4-FFF2-40B4-BE49-F238E27FC236}">
              <a16:creationId xmlns:a16="http://schemas.microsoft.com/office/drawing/2014/main" id="{043E7892-547C-F73A-AA5A-46AB54428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62382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6</xdr:col>
      <xdr:colOff>823350</xdr:colOff>
      <xdr:row>2</xdr:row>
      <xdr:rowOff>115823</xdr:rowOff>
    </xdr:from>
    <xdr:to>
      <xdr:col>6</xdr:col>
      <xdr:colOff>959270</xdr:colOff>
      <xdr:row>2</xdr:row>
      <xdr:rowOff>250356</xdr:rowOff>
    </xdr:to>
    <xdr:pic>
      <xdr:nvPicPr>
        <xdr:cNvPr id="8" name="Graphic 7" descr="Star with solid fill">
          <a:extLst>
            <a:ext uri="{FF2B5EF4-FFF2-40B4-BE49-F238E27FC236}">
              <a16:creationId xmlns:a16="http://schemas.microsoft.com/office/drawing/2014/main" id="{C6C1D2A0-DF21-18C1-D121-1184E53C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51737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7</xdr:col>
      <xdr:colOff>774189</xdr:colOff>
      <xdr:row>2</xdr:row>
      <xdr:rowOff>115823</xdr:rowOff>
    </xdr:from>
    <xdr:to>
      <xdr:col>7</xdr:col>
      <xdr:colOff>910109</xdr:colOff>
      <xdr:row>2</xdr:row>
      <xdr:rowOff>250356</xdr:rowOff>
    </xdr:to>
    <xdr:pic>
      <xdr:nvPicPr>
        <xdr:cNvPr id="9" name="Graphic 8" descr="Star with solid fill">
          <a:extLst>
            <a:ext uri="{FF2B5EF4-FFF2-40B4-BE49-F238E27FC236}">
              <a16:creationId xmlns:a16="http://schemas.microsoft.com/office/drawing/2014/main" id="{97AB29AB-08C9-5B64-6B68-6235B5A5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85802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8</xdr:col>
      <xdr:colOff>710279</xdr:colOff>
      <xdr:row>2</xdr:row>
      <xdr:rowOff>115823</xdr:rowOff>
    </xdr:from>
    <xdr:to>
      <xdr:col>8</xdr:col>
      <xdr:colOff>846199</xdr:colOff>
      <xdr:row>2</xdr:row>
      <xdr:rowOff>250356</xdr:rowOff>
    </xdr:to>
    <xdr:pic>
      <xdr:nvPicPr>
        <xdr:cNvPr id="10" name="Graphic 9" descr="Star with solid fill">
          <a:extLst>
            <a:ext uri="{FF2B5EF4-FFF2-40B4-BE49-F238E27FC236}">
              <a16:creationId xmlns:a16="http://schemas.microsoft.com/office/drawing/2014/main" id="{1B31A082-1657-3CC0-2389-3326DF825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805118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10</xdr:col>
      <xdr:colOff>808602</xdr:colOff>
      <xdr:row>2</xdr:row>
      <xdr:rowOff>115823</xdr:rowOff>
    </xdr:from>
    <xdr:to>
      <xdr:col>10</xdr:col>
      <xdr:colOff>944522</xdr:colOff>
      <xdr:row>2</xdr:row>
      <xdr:rowOff>250356</xdr:rowOff>
    </xdr:to>
    <xdr:pic>
      <xdr:nvPicPr>
        <xdr:cNvPr id="11" name="Graphic 10" descr="Star with solid fill">
          <a:extLst>
            <a:ext uri="{FF2B5EF4-FFF2-40B4-BE49-F238E27FC236}">
              <a16:creationId xmlns:a16="http://schemas.microsoft.com/office/drawing/2014/main" id="{3F73C1BD-16DC-3365-78AB-287FB89E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869892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11</xdr:col>
      <xdr:colOff>759441</xdr:colOff>
      <xdr:row>2</xdr:row>
      <xdr:rowOff>115823</xdr:rowOff>
    </xdr:from>
    <xdr:to>
      <xdr:col>11</xdr:col>
      <xdr:colOff>895361</xdr:colOff>
      <xdr:row>2</xdr:row>
      <xdr:rowOff>250356</xdr:rowOff>
    </xdr:to>
    <xdr:pic>
      <xdr:nvPicPr>
        <xdr:cNvPr id="12" name="Graphic 11" descr="Star with solid fill">
          <a:extLst>
            <a:ext uri="{FF2B5EF4-FFF2-40B4-BE49-F238E27FC236}">
              <a16:creationId xmlns:a16="http://schemas.microsoft.com/office/drawing/2014/main" id="{2E6FBCAC-349F-F5EC-BB52-83C7D43D6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803957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12</xdr:col>
      <xdr:colOff>695531</xdr:colOff>
      <xdr:row>2</xdr:row>
      <xdr:rowOff>115823</xdr:rowOff>
    </xdr:from>
    <xdr:to>
      <xdr:col>12</xdr:col>
      <xdr:colOff>831451</xdr:colOff>
      <xdr:row>2</xdr:row>
      <xdr:rowOff>250356</xdr:rowOff>
    </xdr:to>
    <xdr:pic>
      <xdr:nvPicPr>
        <xdr:cNvPr id="13" name="Graphic 12" descr="Star with solid fill">
          <a:extLst>
            <a:ext uri="{FF2B5EF4-FFF2-40B4-BE49-F238E27FC236}">
              <a16:creationId xmlns:a16="http://schemas.microsoft.com/office/drawing/2014/main" id="{737208BE-96A6-2216-CAF7-D046C2E6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723273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14</xdr:col>
      <xdr:colOff>818433</xdr:colOff>
      <xdr:row>2</xdr:row>
      <xdr:rowOff>115823</xdr:rowOff>
    </xdr:from>
    <xdr:to>
      <xdr:col>14</xdr:col>
      <xdr:colOff>954353</xdr:colOff>
      <xdr:row>2</xdr:row>
      <xdr:rowOff>250356</xdr:rowOff>
    </xdr:to>
    <xdr:pic>
      <xdr:nvPicPr>
        <xdr:cNvPr id="14" name="Graphic 13" descr="Star with solid fill">
          <a:extLst>
            <a:ext uri="{FF2B5EF4-FFF2-40B4-BE49-F238E27FC236}">
              <a16:creationId xmlns:a16="http://schemas.microsoft.com/office/drawing/2014/main" id="{D86A9766-18AF-8365-4D67-DBD3899B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812627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15</xdr:col>
      <xdr:colOff>769273</xdr:colOff>
      <xdr:row>2</xdr:row>
      <xdr:rowOff>115823</xdr:rowOff>
    </xdr:from>
    <xdr:to>
      <xdr:col>15</xdr:col>
      <xdr:colOff>905193</xdr:colOff>
      <xdr:row>2</xdr:row>
      <xdr:rowOff>250356</xdr:rowOff>
    </xdr:to>
    <xdr:pic>
      <xdr:nvPicPr>
        <xdr:cNvPr id="15" name="Graphic 14" descr="Star with solid fill">
          <a:extLst>
            <a:ext uri="{FF2B5EF4-FFF2-40B4-BE49-F238E27FC236}">
              <a16:creationId xmlns:a16="http://schemas.microsoft.com/office/drawing/2014/main" id="{34C966F8-B34D-BA30-1E6B-935F473C8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746692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16</xdr:col>
      <xdr:colOff>705363</xdr:colOff>
      <xdr:row>2</xdr:row>
      <xdr:rowOff>115823</xdr:rowOff>
    </xdr:from>
    <xdr:to>
      <xdr:col>16</xdr:col>
      <xdr:colOff>841283</xdr:colOff>
      <xdr:row>2</xdr:row>
      <xdr:rowOff>250356</xdr:rowOff>
    </xdr:to>
    <xdr:pic>
      <xdr:nvPicPr>
        <xdr:cNvPr id="16" name="Graphic 15" descr="Star with solid fill">
          <a:extLst>
            <a:ext uri="{FF2B5EF4-FFF2-40B4-BE49-F238E27FC236}">
              <a16:creationId xmlns:a16="http://schemas.microsoft.com/office/drawing/2014/main" id="{09B8F119-33FB-EDB3-C71D-6B3C62DC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666008" y="459952"/>
          <a:ext cx="135920" cy="134533"/>
        </a:xfrm>
        <a:prstGeom prst="rect">
          <a:avLst/>
        </a:prstGeom>
      </xdr:spPr>
    </xdr:pic>
    <xdr:clientData/>
  </xdr:twoCellAnchor>
  <xdr:twoCellAnchor editAs="oneCell">
    <xdr:from>
      <xdr:col>20</xdr:col>
      <xdr:colOff>3462464</xdr:colOff>
      <xdr:row>1</xdr:row>
      <xdr:rowOff>185893</xdr:rowOff>
    </xdr:from>
    <xdr:to>
      <xdr:col>20</xdr:col>
      <xdr:colOff>3598384</xdr:colOff>
      <xdr:row>1</xdr:row>
      <xdr:rowOff>320426</xdr:rowOff>
    </xdr:to>
    <xdr:pic>
      <xdr:nvPicPr>
        <xdr:cNvPr id="17" name="Graphic 16" descr="Star with solid fill">
          <a:extLst>
            <a:ext uri="{FF2B5EF4-FFF2-40B4-BE49-F238E27FC236}">
              <a16:creationId xmlns:a16="http://schemas.microsoft.com/office/drawing/2014/main" id="{124A6B3F-E290-3781-4E3E-DD08844D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16740" y="387341"/>
          <a:ext cx="135920" cy="134533"/>
        </a:xfrm>
        <a:prstGeom prst="rect">
          <a:avLst/>
        </a:prstGeom>
      </xdr:spPr>
    </xdr:pic>
    <xdr:clientData/>
  </xdr:twoCellAnchor>
  <xdr:twoCellAnchor editAs="absolute">
    <xdr:from>
      <xdr:col>2</xdr:col>
      <xdr:colOff>332160</xdr:colOff>
      <xdr:row>3</xdr:row>
      <xdr:rowOff>123063</xdr:rowOff>
    </xdr:from>
    <xdr:to>
      <xdr:col>5</xdr:col>
      <xdr:colOff>3399</xdr:colOff>
      <xdr:row>17</xdr:row>
      <xdr:rowOff>89648</xdr:rowOff>
    </xdr:to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CBB6E0FE-89A8-4552-B6AA-AAD37443B42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>
          <a:alphaModFix amt="15000"/>
        </a:blip>
        <a:stretch>
          <a:fillRect/>
        </a:stretch>
      </xdr:blipFill>
      <xdr:spPr>
        <a:xfrm>
          <a:off x="3715440" y="1006983"/>
          <a:ext cx="2620179" cy="2740265"/>
        </a:xfrm>
        <a:prstGeom prst="rect">
          <a:avLst/>
        </a:prstGeom>
        <a:noFill/>
      </xdr:spPr>
    </xdr:pic>
    <xdr:clientData/>
  </xdr:twoCellAnchor>
  <xdr:twoCellAnchor editAs="absolute">
    <xdr:from>
      <xdr:col>14</xdr:col>
      <xdr:colOff>645925</xdr:colOff>
      <xdr:row>3</xdr:row>
      <xdr:rowOff>123063</xdr:rowOff>
    </xdr:from>
    <xdr:to>
      <xdr:col>17</xdr:col>
      <xdr:colOff>312410</xdr:colOff>
      <xdr:row>17</xdr:row>
      <xdr:rowOff>89648</xdr:rowOff>
    </xdr:to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EAAD7EF5-54F2-1074-69AE-9EF05E7E8331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>
          <a:alphaModFix amt="15000"/>
        </a:blip>
        <a:stretch>
          <a:fillRect/>
        </a:stretch>
      </xdr:blipFill>
      <xdr:spPr>
        <a:xfrm>
          <a:off x="15856043" y="1004592"/>
          <a:ext cx="2624838" cy="2685880"/>
        </a:xfrm>
        <a:prstGeom prst="rect">
          <a:avLst/>
        </a:prstGeom>
        <a:noFill/>
      </xdr:spPr>
    </xdr:pic>
    <xdr:clientData/>
  </xdr:twoCellAnchor>
  <xdr:twoCellAnchor editAs="absolute">
    <xdr:from>
      <xdr:col>8</xdr:col>
      <xdr:colOff>616042</xdr:colOff>
      <xdr:row>3</xdr:row>
      <xdr:rowOff>123063</xdr:rowOff>
    </xdr:from>
    <xdr:to>
      <xdr:col>11</xdr:col>
      <xdr:colOff>282527</xdr:colOff>
      <xdr:row>17</xdr:row>
      <xdr:rowOff>89648</xdr:rowOff>
    </xdr:to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EB7926DB-2848-FEF6-F2BE-A4BDD97B815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>
          <a:alphaModFix amt="15000"/>
        </a:blip>
        <a:stretch>
          <a:fillRect/>
        </a:stretch>
      </xdr:blipFill>
      <xdr:spPr>
        <a:xfrm>
          <a:off x="9909454" y="1004592"/>
          <a:ext cx="2624838" cy="268588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704273</xdr:colOff>
      <xdr:row>19</xdr:row>
      <xdr:rowOff>7213</xdr:rowOff>
    </xdr:from>
    <xdr:to>
      <xdr:col>2</xdr:col>
      <xdr:colOff>353717</xdr:colOff>
      <xdr:row>34</xdr:row>
      <xdr:rowOff>169396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42D1C4-FDA1-423A-8583-AF560C9C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73" y="4036577"/>
          <a:ext cx="3032262" cy="310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udent.crackeverytest.com/student/test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student.crackeverytest.com/student/dashboard" TargetMode="External"/><Relationship Id="rId1" Type="http://schemas.openxmlformats.org/officeDocument/2006/relationships/hyperlink" Target="https://student.crackeverytest.com/student/dashboard" TargetMode="External"/><Relationship Id="rId6" Type="http://schemas.openxmlformats.org/officeDocument/2006/relationships/hyperlink" Target="http://www.crackeverytest.com/" TargetMode="External"/><Relationship Id="rId5" Type="http://schemas.openxmlformats.org/officeDocument/2006/relationships/hyperlink" Target="https://student.crackeverytest.com/student/test/" TargetMode="External"/><Relationship Id="rId4" Type="http://schemas.openxmlformats.org/officeDocument/2006/relationships/hyperlink" Target="https://student.crackeverytest.com/student/tes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crackevery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0"/>
  <sheetViews>
    <sheetView topLeftCell="D1" zoomScale="62" zoomScaleNormal="45" workbookViewId="0">
      <selection activeCell="L5" sqref="L5"/>
    </sheetView>
  </sheetViews>
  <sheetFormatPr defaultColWidth="12.6640625" defaultRowHeight="13.2" x14ac:dyDescent="0.25"/>
  <cols>
    <col min="1" max="1" width="10.6640625" style="50" bestFit="1" customWidth="1"/>
    <col min="2" max="2" width="30.88671875" style="50" bestFit="1" customWidth="1"/>
    <col min="3" max="3" width="30.88671875" style="52" customWidth="1"/>
    <col min="4" max="4" width="33.109375" style="50" bestFit="1" customWidth="1"/>
    <col min="5" max="5" width="27.77734375" style="50" bestFit="1" customWidth="1"/>
    <col min="6" max="6" width="27.21875" style="50" bestFit="1" customWidth="1"/>
    <col min="7" max="7" width="21.44140625" style="50" bestFit="1" customWidth="1"/>
    <col min="8" max="8" width="25.77734375" style="50" bestFit="1" customWidth="1"/>
    <col min="9" max="9" width="54.21875" style="50" bestFit="1" customWidth="1"/>
    <col min="10" max="10" width="12.6640625" style="50"/>
    <col min="11" max="11" width="31.109375" style="50" bestFit="1" customWidth="1"/>
    <col min="12" max="12" width="86.21875" style="50" bestFit="1" customWidth="1"/>
    <col min="13" max="16384" width="12.6640625" style="50"/>
  </cols>
  <sheetData>
    <row r="1" spans="1:13" ht="21" x14ac:dyDescent="0.25">
      <c r="A1" s="48"/>
      <c r="B1" s="125" t="s">
        <v>0</v>
      </c>
      <c r="C1" s="126"/>
      <c r="D1" s="127"/>
      <c r="E1" s="127"/>
      <c r="F1" s="127"/>
      <c r="G1" s="127"/>
      <c r="H1" s="127"/>
      <c r="I1" s="128"/>
      <c r="J1" s="49"/>
      <c r="K1" s="129" t="s">
        <v>1</v>
      </c>
      <c r="L1" s="130"/>
      <c r="M1" s="47"/>
    </row>
    <row r="2" spans="1:13" ht="42" customHeight="1" x14ac:dyDescent="0.25">
      <c r="A2" s="51" t="s">
        <v>2</v>
      </c>
      <c r="B2" s="51" t="s">
        <v>3</v>
      </c>
      <c r="C2" s="51" t="s">
        <v>151</v>
      </c>
      <c r="D2" s="51" t="s">
        <v>4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49"/>
      <c r="K2" s="64" t="s">
        <v>10</v>
      </c>
      <c r="L2" s="65" t="s">
        <v>11</v>
      </c>
    </row>
    <row r="3" spans="1:13" ht="42" customHeight="1" x14ac:dyDescent="0.25">
      <c r="A3" s="54">
        <v>46120</v>
      </c>
      <c r="B3" s="55" t="s">
        <v>12</v>
      </c>
      <c r="C3" s="55"/>
      <c r="D3" s="55" t="s">
        <v>13</v>
      </c>
      <c r="E3" s="55" t="s">
        <v>14</v>
      </c>
      <c r="F3" s="55" t="s">
        <v>15</v>
      </c>
      <c r="G3" s="55" t="s">
        <v>16</v>
      </c>
      <c r="H3" s="55" t="s">
        <v>17</v>
      </c>
      <c r="I3" s="56" t="s">
        <v>18</v>
      </c>
      <c r="J3" s="49"/>
      <c r="K3" s="64" t="s">
        <v>19</v>
      </c>
      <c r="L3" s="65" t="s">
        <v>11</v>
      </c>
    </row>
    <row r="4" spans="1:13" ht="36.6" thickBot="1" x14ac:dyDescent="0.3">
      <c r="A4" s="54">
        <v>46121</v>
      </c>
      <c r="B4" s="55" t="s">
        <v>20</v>
      </c>
      <c r="C4" s="57"/>
      <c r="D4" s="55" t="s">
        <v>13</v>
      </c>
      <c r="E4" s="55" t="s">
        <v>21</v>
      </c>
      <c r="F4" s="55" t="s">
        <v>22</v>
      </c>
      <c r="G4" s="55" t="s">
        <v>23</v>
      </c>
      <c r="H4" s="55" t="s">
        <v>24</v>
      </c>
      <c r="I4" s="56" t="s">
        <v>25</v>
      </c>
      <c r="J4" s="49"/>
      <c r="K4" s="64" t="s">
        <v>26</v>
      </c>
      <c r="L4" s="65" t="s">
        <v>27</v>
      </c>
    </row>
    <row r="5" spans="1:13" ht="36.6" thickBot="1" x14ac:dyDescent="0.3">
      <c r="A5" s="54">
        <v>46122</v>
      </c>
      <c r="B5" s="55" t="s">
        <v>28</v>
      </c>
      <c r="C5" s="58" t="s">
        <v>143</v>
      </c>
      <c r="D5" s="55" t="s">
        <v>13</v>
      </c>
      <c r="E5" s="55" t="s">
        <v>29</v>
      </c>
      <c r="F5" s="55" t="s">
        <v>30</v>
      </c>
      <c r="G5" s="55" t="s">
        <v>31</v>
      </c>
      <c r="H5" s="55" t="s">
        <v>32</v>
      </c>
      <c r="I5" s="55" t="s">
        <v>33</v>
      </c>
      <c r="J5" s="49"/>
      <c r="K5" s="64" t="s">
        <v>34</v>
      </c>
      <c r="L5" s="65" t="s">
        <v>27</v>
      </c>
    </row>
    <row r="6" spans="1:13" ht="72.599999999999994" thickBot="1" x14ac:dyDescent="0.3">
      <c r="A6" s="54">
        <v>46123</v>
      </c>
      <c r="B6" s="55" t="s">
        <v>35</v>
      </c>
      <c r="C6" s="59" t="s">
        <v>144</v>
      </c>
      <c r="D6" s="55" t="s">
        <v>13</v>
      </c>
      <c r="E6" s="55" t="s">
        <v>36</v>
      </c>
      <c r="F6" s="55" t="s">
        <v>37</v>
      </c>
      <c r="G6" s="55" t="s">
        <v>38</v>
      </c>
      <c r="H6" s="55" t="s">
        <v>39</v>
      </c>
      <c r="I6" s="55" t="s">
        <v>40</v>
      </c>
      <c r="J6" s="49"/>
      <c r="K6" s="64" t="s">
        <v>41</v>
      </c>
      <c r="L6" s="65" t="s">
        <v>27</v>
      </c>
    </row>
    <row r="7" spans="1:13" ht="36.6" thickBot="1" x14ac:dyDescent="0.3">
      <c r="A7" s="54">
        <v>46124</v>
      </c>
      <c r="B7" s="55" t="s">
        <v>42</v>
      </c>
      <c r="C7" s="60" t="s">
        <v>143</v>
      </c>
      <c r="D7" s="55" t="s">
        <v>13</v>
      </c>
      <c r="E7" s="55" t="s">
        <v>43</v>
      </c>
      <c r="F7" s="55" t="s">
        <v>44</v>
      </c>
      <c r="G7" s="55" t="s">
        <v>45</v>
      </c>
      <c r="H7" s="55" t="s">
        <v>46</v>
      </c>
      <c r="I7" s="56" t="s">
        <v>47</v>
      </c>
      <c r="J7" s="49"/>
      <c r="K7" s="66"/>
      <c r="L7" s="67"/>
    </row>
    <row r="8" spans="1:13" ht="36.6" thickBot="1" x14ac:dyDescent="0.3">
      <c r="A8" s="54">
        <v>46125</v>
      </c>
      <c r="B8" s="55" t="s">
        <v>48</v>
      </c>
      <c r="C8" s="60" t="s">
        <v>143</v>
      </c>
      <c r="D8" s="55" t="s">
        <v>13</v>
      </c>
      <c r="E8" s="55" t="s">
        <v>49</v>
      </c>
      <c r="F8" s="55" t="s">
        <v>50</v>
      </c>
      <c r="G8" s="55" t="s">
        <v>23</v>
      </c>
      <c r="H8" s="55" t="s">
        <v>17</v>
      </c>
      <c r="I8" s="56" t="s">
        <v>51</v>
      </c>
      <c r="J8" s="49"/>
      <c r="K8" s="131" t="s">
        <v>52</v>
      </c>
      <c r="L8" s="132"/>
    </row>
    <row r="9" spans="1:13" ht="36.6" thickBot="1" x14ac:dyDescent="0.3">
      <c r="A9" s="54">
        <v>46126</v>
      </c>
      <c r="B9" s="55" t="s">
        <v>53</v>
      </c>
      <c r="C9" s="61" t="s">
        <v>145</v>
      </c>
      <c r="D9" s="55" t="s">
        <v>13</v>
      </c>
      <c r="E9" s="55" t="s">
        <v>54</v>
      </c>
      <c r="F9" s="55" t="s">
        <v>22</v>
      </c>
      <c r="G9" s="55" t="s">
        <v>31</v>
      </c>
      <c r="H9" s="55" t="s">
        <v>55</v>
      </c>
      <c r="I9" s="55" t="s">
        <v>56</v>
      </c>
      <c r="J9" s="49"/>
      <c r="K9" s="133" t="s">
        <v>154</v>
      </c>
      <c r="L9" s="86" t="s">
        <v>155</v>
      </c>
    </row>
    <row r="10" spans="1:13" ht="36.6" thickBot="1" x14ac:dyDescent="0.3">
      <c r="A10" s="54">
        <v>46127</v>
      </c>
      <c r="B10" s="55" t="s">
        <v>57</v>
      </c>
      <c r="C10" s="60" t="s">
        <v>143</v>
      </c>
      <c r="D10" s="55" t="s">
        <v>13</v>
      </c>
      <c r="E10" s="55" t="s">
        <v>58</v>
      </c>
      <c r="F10" s="55" t="s">
        <v>30</v>
      </c>
      <c r="G10" s="55" t="s">
        <v>38</v>
      </c>
      <c r="H10" s="55" t="s">
        <v>32</v>
      </c>
      <c r="I10" s="55" t="s">
        <v>59</v>
      </c>
      <c r="J10" s="49"/>
      <c r="K10" s="77"/>
      <c r="L10" s="82"/>
    </row>
    <row r="11" spans="1:13" ht="36.6" thickBot="1" x14ac:dyDescent="0.3">
      <c r="A11" s="54">
        <v>46128</v>
      </c>
      <c r="B11" s="55" t="s">
        <v>61</v>
      </c>
      <c r="C11" s="60" t="s">
        <v>143</v>
      </c>
      <c r="D11" s="55" t="s">
        <v>13</v>
      </c>
      <c r="E11" s="55" t="s">
        <v>62</v>
      </c>
      <c r="F11" s="55" t="s">
        <v>37</v>
      </c>
      <c r="G11" s="55" t="s">
        <v>16</v>
      </c>
      <c r="H11" s="55" t="s">
        <v>39</v>
      </c>
      <c r="I11" s="56" t="s">
        <v>18</v>
      </c>
      <c r="J11" s="49"/>
      <c r="K11" s="77"/>
      <c r="L11" s="82"/>
    </row>
    <row r="12" spans="1:13" ht="36.6" thickBot="1" x14ac:dyDescent="0.3">
      <c r="A12" s="54">
        <v>46129</v>
      </c>
      <c r="B12" s="55" t="s">
        <v>64</v>
      </c>
      <c r="C12" s="60" t="s">
        <v>143</v>
      </c>
      <c r="D12" s="55" t="s">
        <v>13</v>
      </c>
      <c r="E12" s="55" t="s">
        <v>65</v>
      </c>
      <c r="F12" s="55" t="s">
        <v>44</v>
      </c>
      <c r="G12" s="55" t="s">
        <v>23</v>
      </c>
      <c r="H12" s="55" t="s">
        <v>46</v>
      </c>
      <c r="I12" s="56" t="s">
        <v>51</v>
      </c>
      <c r="J12" s="49"/>
      <c r="K12" s="77"/>
      <c r="L12" s="82"/>
    </row>
    <row r="13" spans="1:13" ht="72.599999999999994" thickBot="1" x14ac:dyDescent="0.3">
      <c r="A13" s="54">
        <v>46130</v>
      </c>
      <c r="B13" s="55" t="s">
        <v>66</v>
      </c>
      <c r="C13" s="59" t="s">
        <v>146</v>
      </c>
      <c r="D13" s="55" t="s">
        <v>13</v>
      </c>
      <c r="E13" s="55" t="s">
        <v>67</v>
      </c>
      <c r="F13" s="55" t="s">
        <v>68</v>
      </c>
      <c r="G13" s="55" t="s">
        <v>31</v>
      </c>
      <c r="H13" s="55" t="s">
        <v>17</v>
      </c>
      <c r="I13" s="55" t="s">
        <v>33</v>
      </c>
      <c r="J13" s="49"/>
      <c r="K13" s="79"/>
      <c r="L13" s="84"/>
    </row>
    <row r="14" spans="1:13" ht="30.6" customHeight="1" x14ac:dyDescent="0.25">
      <c r="A14" s="137" t="s">
        <v>153</v>
      </c>
      <c r="B14" s="138"/>
      <c r="C14" s="138"/>
      <c r="D14" s="138"/>
      <c r="E14" s="138"/>
      <c r="F14" s="138"/>
      <c r="G14" s="138"/>
      <c r="H14" s="138"/>
      <c r="I14" s="139"/>
      <c r="J14" s="49"/>
      <c r="K14" s="66"/>
      <c r="L14" s="53"/>
    </row>
    <row r="15" spans="1:13" ht="21" customHeight="1" x14ac:dyDescent="0.25">
      <c r="A15" s="134" t="s">
        <v>152</v>
      </c>
      <c r="B15" s="135"/>
      <c r="C15" s="135"/>
      <c r="D15" s="135"/>
      <c r="E15" s="135"/>
      <c r="F15" s="135"/>
      <c r="G15" s="135"/>
      <c r="H15" s="135"/>
      <c r="I15" s="136"/>
      <c r="J15" s="49"/>
    </row>
    <row r="16" spans="1:13" ht="21" customHeight="1" thickBot="1" x14ac:dyDescent="0.3">
      <c r="A16" s="134"/>
      <c r="B16" s="135"/>
      <c r="C16" s="135"/>
      <c r="D16" s="135"/>
      <c r="E16" s="135"/>
      <c r="F16" s="135"/>
      <c r="G16" s="135"/>
      <c r="H16" s="135"/>
      <c r="I16" s="136"/>
      <c r="J16" s="49"/>
    </row>
    <row r="17" spans="1:12" ht="36.6" thickBot="1" x14ac:dyDescent="0.3">
      <c r="A17" s="54">
        <v>46131</v>
      </c>
      <c r="B17" s="55" t="s">
        <v>20</v>
      </c>
      <c r="C17" s="60" t="s">
        <v>143</v>
      </c>
      <c r="D17" s="55" t="s">
        <v>13</v>
      </c>
      <c r="E17" s="55" t="s">
        <v>21</v>
      </c>
      <c r="F17" s="55" t="s">
        <v>69</v>
      </c>
      <c r="G17" s="55" t="s">
        <v>70</v>
      </c>
      <c r="H17" s="55" t="s">
        <v>55</v>
      </c>
      <c r="I17" s="55" t="s">
        <v>71</v>
      </c>
      <c r="J17" s="49"/>
      <c r="K17" s="87" t="s">
        <v>60</v>
      </c>
      <c r="L17" s="86" t="s">
        <v>156</v>
      </c>
    </row>
    <row r="18" spans="1:12" ht="36.6" thickBot="1" x14ac:dyDescent="0.3">
      <c r="A18" s="54">
        <v>46132</v>
      </c>
      <c r="B18" s="55" t="s">
        <v>72</v>
      </c>
      <c r="C18" s="60" t="s">
        <v>143</v>
      </c>
      <c r="D18" s="55" t="s">
        <v>13</v>
      </c>
      <c r="E18" s="55" t="s">
        <v>73</v>
      </c>
      <c r="F18" s="55" t="s">
        <v>30</v>
      </c>
      <c r="G18" s="55" t="s">
        <v>16</v>
      </c>
      <c r="H18" s="55" t="s">
        <v>32</v>
      </c>
      <c r="I18" s="56" t="s">
        <v>74</v>
      </c>
      <c r="J18" s="49"/>
      <c r="K18" s="88"/>
      <c r="L18" s="84"/>
    </row>
    <row r="19" spans="1:12" ht="36.6" customHeight="1" thickBot="1" x14ac:dyDescent="0.3">
      <c r="A19" s="54">
        <v>46133</v>
      </c>
      <c r="B19" s="55" t="s">
        <v>75</v>
      </c>
      <c r="C19" s="60" t="s">
        <v>143</v>
      </c>
      <c r="D19" s="55" t="s">
        <v>13</v>
      </c>
      <c r="E19" s="55" t="s">
        <v>76</v>
      </c>
      <c r="F19" s="55" t="s">
        <v>77</v>
      </c>
      <c r="G19" s="55" t="s">
        <v>23</v>
      </c>
      <c r="H19" s="55" t="s">
        <v>78</v>
      </c>
      <c r="I19" s="56" t="s">
        <v>79</v>
      </c>
      <c r="J19" s="49"/>
      <c r="K19" s="67"/>
      <c r="L19" s="67"/>
    </row>
    <row r="20" spans="1:12" ht="36.6" thickBot="1" x14ac:dyDescent="0.3">
      <c r="A20" s="54">
        <v>46134</v>
      </c>
      <c r="B20" s="55" t="s">
        <v>42</v>
      </c>
      <c r="C20" s="60" t="s">
        <v>143</v>
      </c>
      <c r="D20" s="55" t="s">
        <v>13</v>
      </c>
      <c r="E20" s="55" t="s">
        <v>80</v>
      </c>
      <c r="F20" s="55" t="s">
        <v>81</v>
      </c>
      <c r="G20" s="55" t="s">
        <v>31</v>
      </c>
      <c r="H20" s="55" t="s">
        <v>82</v>
      </c>
      <c r="I20" s="55" t="s">
        <v>83</v>
      </c>
      <c r="J20" s="49"/>
      <c r="K20" s="87" t="s">
        <v>63</v>
      </c>
      <c r="L20" s="86" t="s">
        <v>157</v>
      </c>
    </row>
    <row r="21" spans="1:12" ht="36.6" thickBot="1" x14ac:dyDescent="0.3">
      <c r="A21" s="54">
        <v>46135</v>
      </c>
      <c r="B21" s="55" t="s">
        <v>84</v>
      </c>
      <c r="C21" s="60" t="s">
        <v>143</v>
      </c>
      <c r="D21" s="55" t="s">
        <v>13</v>
      </c>
      <c r="E21" s="55" t="s">
        <v>85</v>
      </c>
      <c r="F21" s="55" t="s">
        <v>68</v>
      </c>
      <c r="G21" s="55" t="s">
        <v>38</v>
      </c>
      <c r="H21" s="55" t="s">
        <v>17</v>
      </c>
      <c r="I21" s="55" t="s">
        <v>71</v>
      </c>
      <c r="J21" s="49"/>
      <c r="K21" s="88"/>
      <c r="L21" s="84"/>
    </row>
    <row r="22" spans="1:12" ht="36.6" customHeight="1" thickBot="1" x14ac:dyDescent="0.3">
      <c r="A22" s="54">
        <v>46136</v>
      </c>
      <c r="B22" s="55" t="s">
        <v>86</v>
      </c>
      <c r="C22" s="60" t="s">
        <v>143</v>
      </c>
      <c r="D22" s="55" t="s">
        <v>13</v>
      </c>
      <c r="E22" s="55" t="s">
        <v>87</v>
      </c>
      <c r="F22" s="55" t="s">
        <v>69</v>
      </c>
      <c r="G22" s="55" t="s">
        <v>88</v>
      </c>
      <c r="H22" s="55" t="s">
        <v>55</v>
      </c>
      <c r="I22" s="56" t="s">
        <v>18</v>
      </c>
      <c r="J22" s="49"/>
    </row>
    <row r="23" spans="1:12" ht="72.599999999999994" thickBot="1" x14ac:dyDescent="0.3">
      <c r="A23" s="54">
        <v>46137</v>
      </c>
      <c r="B23" s="55" t="s">
        <v>89</v>
      </c>
      <c r="C23" s="59" t="s">
        <v>147</v>
      </c>
      <c r="D23" s="55" t="s">
        <v>13</v>
      </c>
      <c r="E23" s="55" t="s">
        <v>58</v>
      </c>
      <c r="F23" s="55" t="s">
        <v>90</v>
      </c>
      <c r="G23" s="55" t="s">
        <v>23</v>
      </c>
      <c r="H23" s="55" t="s">
        <v>32</v>
      </c>
      <c r="I23" s="56" t="s">
        <v>79</v>
      </c>
      <c r="J23" s="49"/>
      <c r="K23" s="67"/>
      <c r="L23" s="67"/>
    </row>
    <row r="24" spans="1:12" ht="36.6" thickBot="1" x14ac:dyDescent="0.3">
      <c r="A24" s="54">
        <v>46138</v>
      </c>
      <c r="B24" s="55" t="s">
        <v>91</v>
      </c>
      <c r="C24" s="60" t="s">
        <v>143</v>
      </c>
      <c r="D24" s="55" t="s">
        <v>13</v>
      </c>
      <c r="E24" s="55" t="s">
        <v>92</v>
      </c>
      <c r="F24" s="55" t="s">
        <v>37</v>
      </c>
      <c r="G24" s="55" t="s">
        <v>31</v>
      </c>
      <c r="H24" s="55" t="s">
        <v>93</v>
      </c>
      <c r="I24" s="55" t="s">
        <v>56</v>
      </c>
      <c r="J24" s="49"/>
      <c r="K24" s="68" t="s">
        <v>158</v>
      </c>
      <c r="L24" s="70"/>
    </row>
    <row r="25" spans="1:12" ht="36.6" customHeight="1" thickBot="1" x14ac:dyDescent="0.3">
      <c r="A25" s="54">
        <v>46139</v>
      </c>
      <c r="B25" s="55" t="s">
        <v>94</v>
      </c>
      <c r="C25" s="60" t="s">
        <v>143</v>
      </c>
      <c r="D25" s="55" t="s">
        <v>13</v>
      </c>
      <c r="E25" s="55" t="s">
        <v>65</v>
      </c>
      <c r="F25" s="55" t="s">
        <v>95</v>
      </c>
      <c r="G25" s="55" t="s">
        <v>96</v>
      </c>
      <c r="H25" s="55" t="s">
        <v>97</v>
      </c>
      <c r="I25" s="55" t="s">
        <v>71</v>
      </c>
      <c r="J25" s="49"/>
      <c r="K25" s="71"/>
      <c r="L25" s="73"/>
    </row>
    <row r="26" spans="1:12" ht="36.6" thickBot="1" x14ac:dyDescent="0.3">
      <c r="A26" s="54">
        <v>46140</v>
      </c>
      <c r="B26" s="55" t="s">
        <v>98</v>
      </c>
      <c r="C26" s="60" t="s">
        <v>143</v>
      </c>
      <c r="D26" s="55" t="s">
        <v>13</v>
      </c>
      <c r="E26" s="55" t="s">
        <v>99</v>
      </c>
      <c r="F26" s="55" t="s">
        <v>68</v>
      </c>
      <c r="G26" s="55" t="s">
        <v>88</v>
      </c>
      <c r="H26" s="55" t="s">
        <v>17</v>
      </c>
      <c r="I26" s="56" t="s">
        <v>18</v>
      </c>
      <c r="J26" s="49"/>
      <c r="K26" s="74"/>
      <c r="L26" s="76"/>
    </row>
    <row r="27" spans="1:12" ht="36.6" thickBot="1" x14ac:dyDescent="0.3">
      <c r="A27" s="54">
        <v>46141</v>
      </c>
      <c r="B27" s="55" t="s">
        <v>100</v>
      </c>
      <c r="C27" s="60" t="s">
        <v>143</v>
      </c>
      <c r="D27" s="55" t="s">
        <v>13</v>
      </c>
      <c r="E27" s="55" t="s">
        <v>21</v>
      </c>
      <c r="F27" s="55" t="s">
        <v>101</v>
      </c>
      <c r="G27" s="55" t="s">
        <v>102</v>
      </c>
      <c r="H27" s="55" t="s">
        <v>55</v>
      </c>
      <c r="I27" s="56" t="s">
        <v>79</v>
      </c>
      <c r="J27" s="49"/>
      <c r="K27" s="49"/>
      <c r="L27" s="49"/>
    </row>
    <row r="28" spans="1:12" ht="36.6" thickBot="1" x14ac:dyDescent="0.3">
      <c r="A28" s="54">
        <v>46142</v>
      </c>
      <c r="B28" s="55" t="s">
        <v>103</v>
      </c>
      <c r="C28" s="60" t="s">
        <v>143</v>
      </c>
      <c r="D28" s="55" t="s">
        <v>13</v>
      </c>
      <c r="E28" s="55" t="s">
        <v>104</v>
      </c>
      <c r="F28" s="55" t="s">
        <v>90</v>
      </c>
      <c r="G28" s="55" t="s">
        <v>105</v>
      </c>
      <c r="H28" s="55" t="s">
        <v>32</v>
      </c>
      <c r="I28" s="55" t="s">
        <v>83</v>
      </c>
      <c r="J28" s="49"/>
      <c r="K28" s="49"/>
      <c r="L28" s="49"/>
    </row>
    <row r="29" spans="1:12" ht="34.200000000000003" customHeight="1" x14ac:dyDescent="0.25">
      <c r="A29" s="137" t="s">
        <v>153</v>
      </c>
      <c r="B29" s="138"/>
      <c r="C29" s="138"/>
      <c r="D29" s="138"/>
      <c r="E29" s="138"/>
      <c r="F29" s="138"/>
      <c r="G29" s="138"/>
      <c r="H29" s="138"/>
      <c r="I29" s="139"/>
      <c r="J29" s="49"/>
      <c r="K29" s="49"/>
      <c r="L29" s="49"/>
    </row>
    <row r="30" spans="1:12" ht="20.399999999999999" customHeight="1" x14ac:dyDescent="0.25">
      <c r="A30" s="134" t="s">
        <v>152</v>
      </c>
      <c r="B30" s="135"/>
      <c r="C30" s="135"/>
      <c r="D30" s="135"/>
      <c r="E30" s="135"/>
      <c r="F30" s="135"/>
      <c r="G30" s="135"/>
      <c r="H30" s="135"/>
      <c r="I30" s="136"/>
      <c r="J30" s="49"/>
      <c r="K30" s="49"/>
      <c r="L30" s="49"/>
    </row>
    <row r="31" spans="1:12" ht="20.399999999999999" customHeight="1" thickBot="1" x14ac:dyDescent="0.3">
      <c r="A31" s="134"/>
      <c r="B31" s="135"/>
      <c r="C31" s="135"/>
      <c r="D31" s="135"/>
      <c r="E31" s="135"/>
      <c r="F31" s="135"/>
      <c r="G31" s="135"/>
      <c r="H31" s="135"/>
      <c r="I31" s="136"/>
      <c r="J31" s="49"/>
      <c r="K31" s="49"/>
      <c r="L31" s="49"/>
    </row>
    <row r="32" spans="1:12" ht="36.6" thickBot="1" x14ac:dyDescent="0.3">
      <c r="A32" s="54">
        <v>46143</v>
      </c>
      <c r="B32" s="55" t="s">
        <v>75</v>
      </c>
      <c r="C32" s="58" t="s">
        <v>143</v>
      </c>
      <c r="D32" s="55" t="s">
        <v>13</v>
      </c>
      <c r="E32" s="55" t="s">
        <v>36</v>
      </c>
      <c r="F32" s="55" t="s">
        <v>37</v>
      </c>
      <c r="G32" s="55" t="s">
        <v>96</v>
      </c>
      <c r="H32" s="55" t="s">
        <v>93</v>
      </c>
      <c r="I32" s="55" t="s">
        <v>71</v>
      </c>
      <c r="J32" s="49"/>
      <c r="K32" s="49"/>
      <c r="L32" s="49"/>
    </row>
    <row r="33" spans="1:12" ht="90.6" thickBot="1" x14ac:dyDescent="0.3">
      <c r="A33" s="54">
        <v>46144</v>
      </c>
      <c r="B33" s="55" t="s">
        <v>42</v>
      </c>
      <c r="C33" s="59" t="s">
        <v>148</v>
      </c>
      <c r="D33" s="55" t="s">
        <v>13</v>
      </c>
      <c r="E33" s="55" t="s">
        <v>43</v>
      </c>
      <c r="F33" s="55" t="s">
        <v>81</v>
      </c>
      <c r="G33" s="55" t="s">
        <v>16</v>
      </c>
      <c r="H33" s="55" t="s">
        <v>46</v>
      </c>
      <c r="I33" s="56" t="s">
        <v>18</v>
      </c>
      <c r="J33" s="49"/>
      <c r="K33" s="49"/>
      <c r="L33" s="49"/>
    </row>
    <row r="34" spans="1:12" ht="36.6" thickBot="1" x14ac:dyDescent="0.3">
      <c r="A34" s="54">
        <v>46145</v>
      </c>
      <c r="B34" s="55" t="s">
        <v>106</v>
      </c>
      <c r="C34" s="60" t="s">
        <v>143</v>
      </c>
      <c r="D34" s="55" t="s">
        <v>13</v>
      </c>
      <c r="E34" s="55" t="s">
        <v>49</v>
      </c>
      <c r="F34" s="55" t="s">
        <v>68</v>
      </c>
      <c r="G34" s="55" t="s">
        <v>23</v>
      </c>
      <c r="H34" s="55" t="s">
        <v>107</v>
      </c>
      <c r="I34" s="56" t="s">
        <v>79</v>
      </c>
      <c r="J34" s="49"/>
      <c r="K34" s="49"/>
      <c r="L34" s="49"/>
    </row>
    <row r="35" spans="1:12" ht="36.6" thickBot="1" x14ac:dyDescent="0.3">
      <c r="A35" s="54">
        <v>46146</v>
      </c>
      <c r="B35" s="55" t="s">
        <v>53</v>
      </c>
      <c r="C35" s="60" t="s">
        <v>143</v>
      </c>
      <c r="D35" s="55" t="s">
        <v>13</v>
      </c>
      <c r="E35" s="55" t="s">
        <v>108</v>
      </c>
      <c r="F35" s="55" t="s">
        <v>22</v>
      </c>
      <c r="G35" s="55" t="s">
        <v>31</v>
      </c>
      <c r="H35" s="55" t="s">
        <v>55</v>
      </c>
      <c r="I35" s="55" t="s">
        <v>83</v>
      </c>
      <c r="J35" s="49"/>
      <c r="K35" s="49"/>
      <c r="L35" s="49"/>
    </row>
    <row r="36" spans="1:12" ht="36.6" thickBot="1" x14ac:dyDescent="0.3">
      <c r="A36" s="54">
        <v>46147</v>
      </c>
      <c r="B36" s="55" t="s">
        <v>57</v>
      </c>
      <c r="C36" s="61" t="s">
        <v>149</v>
      </c>
      <c r="D36" s="55" t="s">
        <v>13</v>
      </c>
      <c r="E36" s="55" t="s">
        <v>58</v>
      </c>
      <c r="F36" s="55" t="s">
        <v>90</v>
      </c>
      <c r="G36" s="55" t="s">
        <v>38</v>
      </c>
      <c r="H36" s="55" t="s">
        <v>109</v>
      </c>
      <c r="I36" s="55" t="s">
        <v>71</v>
      </c>
      <c r="J36" s="49"/>
      <c r="K36" s="49"/>
      <c r="L36" s="49"/>
    </row>
    <row r="37" spans="1:12" ht="36.6" thickBot="1" x14ac:dyDescent="0.3">
      <c r="A37" s="54">
        <v>46148</v>
      </c>
      <c r="B37" s="55" t="s">
        <v>110</v>
      </c>
      <c r="C37" s="60" t="s">
        <v>143</v>
      </c>
      <c r="D37" s="55" t="s">
        <v>13</v>
      </c>
      <c r="E37" s="55" t="s">
        <v>62</v>
      </c>
      <c r="F37" s="55" t="s">
        <v>77</v>
      </c>
      <c r="G37" s="55" t="s">
        <v>111</v>
      </c>
      <c r="H37" s="55" t="s">
        <v>78</v>
      </c>
      <c r="I37" s="56" t="s">
        <v>18</v>
      </c>
      <c r="J37" s="49"/>
      <c r="K37" s="49"/>
      <c r="L37" s="49"/>
    </row>
    <row r="38" spans="1:12" ht="72.599999999999994" thickBot="1" x14ac:dyDescent="0.3">
      <c r="A38" s="54">
        <v>46149</v>
      </c>
      <c r="B38" s="55" t="s">
        <v>112</v>
      </c>
      <c r="C38" s="59" t="s">
        <v>150</v>
      </c>
      <c r="D38" s="55" t="s">
        <v>13</v>
      </c>
      <c r="E38" s="55" t="s">
        <v>113</v>
      </c>
      <c r="F38" s="55" t="s">
        <v>114</v>
      </c>
      <c r="G38" s="55" t="s">
        <v>115</v>
      </c>
      <c r="H38" s="55" t="s">
        <v>82</v>
      </c>
      <c r="I38" s="56" t="s">
        <v>79</v>
      </c>
    </row>
    <row r="39" spans="1:12" ht="36.6" thickBot="1" x14ac:dyDescent="0.3">
      <c r="A39" s="62">
        <v>46150</v>
      </c>
      <c r="B39" s="63" t="s">
        <v>116</v>
      </c>
      <c r="C39" s="60" t="s">
        <v>143</v>
      </c>
      <c r="D39" s="63" t="s">
        <v>13</v>
      </c>
      <c r="E39" s="63" t="s">
        <v>117</v>
      </c>
      <c r="F39" s="63" t="s">
        <v>118</v>
      </c>
      <c r="G39" s="63" t="s">
        <v>119</v>
      </c>
      <c r="H39" s="63" t="s">
        <v>120</v>
      </c>
      <c r="I39" s="63" t="s">
        <v>121</v>
      </c>
    </row>
    <row r="40" spans="1:12" ht="18" x14ac:dyDescent="0.25">
      <c r="A40" s="62">
        <v>46151</v>
      </c>
      <c r="B40" s="121" t="s">
        <v>122</v>
      </c>
      <c r="C40" s="122"/>
      <c r="D40" s="123"/>
      <c r="E40" s="123"/>
      <c r="F40" s="123"/>
      <c r="G40" s="123"/>
      <c r="H40" s="123"/>
      <c r="I40" s="124"/>
    </row>
  </sheetData>
  <sheetProtection algorithmName="SHA-512" hashValue="r+tpD00QYFTQh3yYq1lR2ZRrPJEJh3zpd4AY1vkLqMic1ZTpL1loLSpaTT9uePl/ptbAR0vtan2ID7psiMobTg==" saltValue="WtE3zYOu3vUPDt84cpMBfA==" spinCount="100000" sheet="1" objects="1" scenarios="1" selectLockedCells="1"/>
  <mergeCells count="15">
    <mergeCell ref="B40:I40"/>
    <mergeCell ref="B1:I1"/>
    <mergeCell ref="K1:L1"/>
    <mergeCell ref="K8:L8"/>
    <mergeCell ref="K9:K13"/>
    <mergeCell ref="L9:L13"/>
    <mergeCell ref="K24:L26"/>
    <mergeCell ref="A15:I16"/>
    <mergeCell ref="A14:I14"/>
    <mergeCell ref="A29:I29"/>
    <mergeCell ref="K17:K18"/>
    <mergeCell ref="L17:L18"/>
    <mergeCell ref="K20:K21"/>
    <mergeCell ref="L20:L21"/>
    <mergeCell ref="A30:I31"/>
  </mergeCells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K24" r:id="rId6" xr:uid="{00000000-0004-0000-0000-000005000000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6"/>
  <sheetViews>
    <sheetView tabSelected="1" zoomScale="84" workbookViewId="0">
      <selection activeCell="B6" sqref="B6"/>
    </sheetView>
  </sheetViews>
  <sheetFormatPr defaultColWidth="14.33203125" defaultRowHeight="15.75" customHeight="1" x14ac:dyDescent="0.25"/>
  <cols>
    <col min="1" max="1" width="12.21875" style="1" customWidth="1"/>
    <col min="2" max="2" width="37.109375" style="1" bestFit="1" customWidth="1"/>
    <col min="3" max="20" width="14.33203125" style="1"/>
    <col min="21" max="21" width="89.44140625" style="1" customWidth="1"/>
    <col min="22" max="16384" width="14.33203125" style="1"/>
  </cols>
  <sheetData>
    <row r="1" spans="1:22" ht="15.75" customHeight="1" x14ac:dyDescent="0.25">
      <c r="A1" s="95" t="s">
        <v>142</v>
      </c>
      <c r="B1" s="96"/>
      <c r="C1" s="99" t="s">
        <v>134</v>
      </c>
      <c r="D1" s="100"/>
      <c r="E1" s="100"/>
      <c r="F1" s="101"/>
      <c r="G1" s="105" t="s">
        <v>139</v>
      </c>
      <c r="H1" s="106"/>
      <c r="I1" s="106"/>
      <c r="J1" s="107"/>
      <c r="K1" s="111" t="s">
        <v>140</v>
      </c>
      <c r="L1" s="112"/>
      <c r="M1" s="112"/>
      <c r="N1" s="113"/>
      <c r="O1" s="117" t="s">
        <v>141</v>
      </c>
      <c r="P1" s="118"/>
      <c r="Q1" s="118"/>
      <c r="R1" s="118"/>
      <c r="S1" s="92" t="s">
        <v>123</v>
      </c>
      <c r="T1" s="92" t="s">
        <v>138</v>
      </c>
      <c r="U1" s="92" t="s">
        <v>124</v>
      </c>
    </row>
    <row r="2" spans="1:22" ht="27" customHeight="1" x14ac:dyDescent="0.25">
      <c r="A2" s="97"/>
      <c r="B2" s="98"/>
      <c r="C2" s="102"/>
      <c r="D2" s="103"/>
      <c r="E2" s="103"/>
      <c r="F2" s="104"/>
      <c r="G2" s="108"/>
      <c r="H2" s="109"/>
      <c r="I2" s="109"/>
      <c r="J2" s="110"/>
      <c r="K2" s="114"/>
      <c r="L2" s="115"/>
      <c r="M2" s="115"/>
      <c r="N2" s="116"/>
      <c r="O2" s="119"/>
      <c r="P2" s="120"/>
      <c r="Q2" s="120"/>
      <c r="R2" s="120"/>
      <c r="S2" s="93"/>
      <c r="T2" s="93"/>
      <c r="U2" s="93"/>
    </row>
    <row r="3" spans="1:22" ht="27" customHeight="1" x14ac:dyDescent="0.25">
      <c r="A3" s="8" t="s">
        <v>2</v>
      </c>
      <c r="B3" s="4" t="s">
        <v>125</v>
      </c>
      <c r="C3" s="18" t="s">
        <v>135</v>
      </c>
      <c r="D3" s="19" t="s">
        <v>136</v>
      </c>
      <c r="E3" s="19" t="s">
        <v>137</v>
      </c>
      <c r="F3" s="20" t="s">
        <v>133</v>
      </c>
      <c r="G3" s="6" t="s">
        <v>135</v>
      </c>
      <c r="H3" s="3" t="s">
        <v>136</v>
      </c>
      <c r="I3" s="3" t="s">
        <v>137</v>
      </c>
      <c r="J3" s="7" t="s">
        <v>133</v>
      </c>
      <c r="K3" s="33" t="s">
        <v>135</v>
      </c>
      <c r="L3" s="34" t="s">
        <v>136</v>
      </c>
      <c r="M3" s="34" t="s">
        <v>137</v>
      </c>
      <c r="N3" s="35" t="s">
        <v>133</v>
      </c>
      <c r="O3" s="40" t="s">
        <v>135</v>
      </c>
      <c r="P3" s="41" t="s">
        <v>136</v>
      </c>
      <c r="Q3" s="41" t="s">
        <v>137</v>
      </c>
      <c r="R3" s="42" t="s">
        <v>133</v>
      </c>
      <c r="S3" s="94"/>
      <c r="T3" s="94"/>
      <c r="U3" s="94"/>
      <c r="V3" s="2"/>
    </row>
    <row r="4" spans="1:22" ht="15.75" customHeight="1" x14ac:dyDescent="0.25">
      <c r="A4" s="9"/>
      <c r="B4" s="5" t="s">
        <v>126</v>
      </c>
      <c r="C4" s="12">
        <v>42</v>
      </c>
      <c r="D4" s="13">
        <v>34</v>
      </c>
      <c r="E4" s="13">
        <v>38</v>
      </c>
      <c r="F4" s="14">
        <f>IF(D4&gt;0,(D4/E4)," ")</f>
        <v>0.89473684210526316</v>
      </c>
      <c r="G4" s="21">
        <v>58</v>
      </c>
      <c r="H4" s="22">
        <v>50</v>
      </c>
      <c r="I4" s="22">
        <v>52</v>
      </c>
      <c r="J4" s="25">
        <f>IF(H4&gt;0,(H4/I4)," ")</f>
        <v>0.96153846153846156</v>
      </c>
      <c r="K4" s="27">
        <v>46</v>
      </c>
      <c r="L4" s="28">
        <v>37</v>
      </c>
      <c r="M4" s="28">
        <v>30</v>
      </c>
      <c r="N4" s="29">
        <f>IF(L4&gt;0,(L4/M4)," ")</f>
        <v>1.2333333333333334</v>
      </c>
      <c r="O4" s="36">
        <v>22</v>
      </c>
      <c r="P4" s="37">
        <v>20</v>
      </c>
      <c r="Q4" s="37">
        <v>14</v>
      </c>
      <c r="R4" s="140">
        <f>IF(P4&gt;0,(P4/Q4)," ")</f>
        <v>1.4285714285714286</v>
      </c>
      <c r="S4" s="43">
        <f>D4+H4+L4+P4</f>
        <v>141</v>
      </c>
      <c r="T4" s="43">
        <f>IF(S4&gt;0,(S4/(E4+I4+M4+Q4))," ")</f>
        <v>1.0522388059701493</v>
      </c>
      <c r="U4" s="45"/>
      <c r="V4" s="2"/>
    </row>
    <row r="5" spans="1:22" ht="15.75" customHeight="1" x14ac:dyDescent="0.25">
      <c r="A5" s="9"/>
      <c r="B5" s="5" t="s">
        <v>127</v>
      </c>
      <c r="C5" s="12">
        <v>45</v>
      </c>
      <c r="D5" s="13">
        <v>36</v>
      </c>
      <c r="E5" s="13">
        <v>40</v>
      </c>
      <c r="F5" s="14">
        <f t="shared" ref="F5:F18" si="0">IF(D5&gt;0,(D5/E5)," ")</f>
        <v>0.9</v>
      </c>
      <c r="G5" s="21">
        <v>62</v>
      </c>
      <c r="H5" s="22">
        <v>54</v>
      </c>
      <c r="I5" s="22">
        <v>55</v>
      </c>
      <c r="J5" s="25">
        <f t="shared" ref="J5:J18" si="1">IF(H5&gt;0,(H5/I5)," ")</f>
        <v>0.98181818181818181</v>
      </c>
      <c r="K5" s="27">
        <v>48</v>
      </c>
      <c r="L5" s="28">
        <v>39</v>
      </c>
      <c r="M5" s="28">
        <v>32</v>
      </c>
      <c r="N5" s="29">
        <f t="shared" ref="N5:N18" si="2">IF(L5&gt;0,(L5/M5)," ")</f>
        <v>1.21875</v>
      </c>
      <c r="O5" s="36">
        <v>24</v>
      </c>
      <c r="P5" s="37">
        <v>21</v>
      </c>
      <c r="Q5" s="37">
        <v>15</v>
      </c>
      <c r="R5" s="140">
        <f t="shared" ref="R5:R18" si="3">IF(P5&gt;0,(P5/Q5)," ")</f>
        <v>1.4</v>
      </c>
      <c r="S5" s="43">
        <f t="shared" ref="S5:S18" si="4">D5+H5+L5+P5</f>
        <v>150</v>
      </c>
      <c r="T5" s="43">
        <f t="shared" ref="T5:T18" si="5">IF(S5&gt;0,(S5/(E5+I5+M5+Q5))," ")</f>
        <v>1.056338028169014</v>
      </c>
      <c r="U5" s="45"/>
      <c r="V5" s="2"/>
    </row>
    <row r="6" spans="1:22" ht="15.75" customHeight="1" x14ac:dyDescent="0.25">
      <c r="A6" s="9"/>
      <c r="B6" s="5" t="s">
        <v>128</v>
      </c>
      <c r="C6" s="12">
        <v>38</v>
      </c>
      <c r="D6" s="13">
        <v>31</v>
      </c>
      <c r="E6" s="13">
        <v>36</v>
      </c>
      <c r="F6" s="14">
        <f t="shared" si="0"/>
        <v>0.86111111111111116</v>
      </c>
      <c r="G6" s="21">
        <v>55</v>
      </c>
      <c r="H6" s="22">
        <v>47</v>
      </c>
      <c r="I6" s="22">
        <v>50</v>
      </c>
      <c r="J6" s="25">
        <f t="shared" si="1"/>
        <v>0.94</v>
      </c>
      <c r="K6" s="27">
        <v>43</v>
      </c>
      <c r="L6" s="28">
        <v>35</v>
      </c>
      <c r="M6" s="28">
        <v>29</v>
      </c>
      <c r="N6" s="29">
        <f t="shared" si="2"/>
        <v>1.2068965517241379</v>
      </c>
      <c r="O6" s="36">
        <v>20</v>
      </c>
      <c r="P6" s="37">
        <v>18</v>
      </c>
      <c r="Q6" s="37">
        <v>13</v>
      </c>
      <c r="R6" s="140">
        <f t="shared" si="3"/>
        <v>1.3846153846153846</v>
      </c>
      <c r="S6" s="43">
        <f t="shared" si="4"/>
        <v>131</v>
      </c>
      <c r="T6" s="43">
        <f t="shared" si="5"/>
        <v>1.0234375</v>
      </c>
      <c r="U6" s="45"/>
      <c r="V6" s="2"/>
    </row>
    <row r="7" spans="1:22" ht="15.75" customHeight="1" x14ac:dyDescent="0.25">
      <c r="A7" s="9"/>
      <c r="B7" s="5" t="s">
        <v>129</v>
      </c>
      <c r="C7" s="12">
        <v>47</v>
      </c>
      <c r="D7" s="13">
        <v>39</v>
      </c>
      <c r="E7" s="13">
        <v>42</v>
      </c>
      <c r="F7" s="14">
        <f t="shared" si="0"/>
        <v>0.9285714285714286</v>
      </c>
      <c r="G7" s="21">
        <v>65</v>
      </c>
      <c r="H7" s="22">
        <v>57</v>
      </c>
      <c r="I7" s="22">
        <v>58</v>
      </c>
      <c r="J7" s="25">
        <f t="shared" si="1"/>
        <v>0.98275862068965514</v>
      </c>
      <c r="K7" s="27">
        <v>50</v>
      </c>
      <c r="L7" s="28">
        <v>41</v>
      </c>
      <c r="M7" s="28">
        <v>33</v>
      </c>
      <c r="N7" s="29">
        <f t="shared" si="2"/>
        <v>1.2424242424242424</v>
      </c>
      <c r="O7" s="36">
        <v>26</v>
      </c>
      <c r="P7" s="37">
        <v>23</v>
      </c>
      <c r="Q7" s="37">
        <v>16</v>
      </c>
      <c r="R7" s="140">
        <f t="shared" si="3"/>
        <v>1.4375</v>
      </c>
      <c r="S7" s="43">
        <f t="shared" si="4"/>
        <v>160</v>
      </c>
      <c r="T7" s="43">
        <f t="shared" si="5"/>
        <v>1.0738255033557047</v>
      </c>
      <c r="U7" s="45"/>
      <c r="V7" s="2"/>
    </row>
    <row r="8" spans="1:22" ht="15.75" customHeight="1" x14ac:dyDescent="0.25">
      <c r="A8" s="9"/>
      <c r="B8" s="5" t="s">
        <v>130</v>
      </c>
      <c r="C8" s="12"/>
      <c r="D8" s="13"/>
      <c r="E8" s="13"/>
      <c r="F8" s="14" t="str">
        <f t="shared" si="0"/>
        <v xml:space="preserve"> </v>
      </c>
      <c r="G8" s="21"/>
      <c r="H8" s="22"/>
      <c r="I8" s="22"/>
      <c r="J8" s="25" t="str">
        <f t="shared" si="1"/>
        <v xml:space="preserve"> </v>
      </c>
      <c r="K8" s="27"/>
      <c r="L8" s="28"/>
      <c r="M8" s="28"/>
      <c r="N8" s="29" t="str">
        <f t="shared" si="2"/>
        <v xml:space="preserve"> </v>
      </c>
      <c r="O8" s="36"/>
      <c r="P8" s="37"/>
      <c r="Q8" s="37"/>
      <c r="R8" s="140" t="str">
        <f t="shared" si="3"/>
        <v xml:space="preserve"> </v>
      </c>
      <c r="S8" s="43">
        <f t="shared" si="4"/>
        <v>0</v>
      </c>
      <c r="T8" s="43" t="str">
        <f t="shared" si="5"/>
        <v xml:space="preserve"> </v>
      </c>
      <c r="U8" s="45"/>
      <c r="V8" s="2"/>
    </row>
    <row r="9" spans="1:22" ht="15.75" customHeight="1" x14ac:dyDescent="0.25">
      <c r="A9" s="9"/>
      <c r="B9" s="5" t="s">
        <v>131</v>
      </c>
      <c r="C9" s="12"/>
      <c r="D9" s="13"/>
      <c r="E9" s="13"/>
      <c r="F9" s="14" t="str">
        <f t="shared" si="0"/>
        <v xml:space="preserve"> </v>
      </c>
      <c r="G9" s="21"/>
      <c r="H9" s="22"/>
      <c r="I9" s="22"/>
      <c r="J9" s="25" t="str">
        <f t="shared" si="1"/>
        <v xml:space="preserve"> </v>
      </c>
      <c r="K9" s="27"/>
      <c r="L9" s="28"/>
      <c r="M9" s="28"/>
      <c r="N9" s="29" t="str">
        <f t="shared" si="2"/>
        <v xml:space="preserve"> </v>
      </c>
      <c r="O9" s="36"/>
      <c r="P9" s="37"/>
      <c r="Q9" s="37"/>
      <c r="R9" s="140" t="str">
        <f t="shared" si="3"/>
        <v xml:space="preserve"> </v>
      </c>
      <c r="S9" s="43">
        <f t="shared" si="4"/>
        <v>0</v>
      </c>
      <c r="T9" s="43" t="str">
        <f t="shared" si="5"/>
        <v xml:space="preserve"> </v>
      </c>
      <c r="U9" s="45"/>
      <c r="V9" s="2"/>
    </row>
    <row r="10" spans="1:22" ht="15.75" customHeight="1" x14ac:dyDescent="0.25">
      <c r="A10" s="9"/>
      <c r="B10" s="5" t="s">
        <v>132</v>
      </c>
      <c r="C10" s="12"/>
      <c r="D10" s="13"/>
      <c r="E10" s="13"/>
      <c r="F10" s="14" t="str">
        <f t="shared" si="0"/>
        <v xml:space="preserve"> </v>
      </c>
      <c r="G10" s="21"/>
      <c r="H10" s="22"/>
      <c r="I10" s="22"/>
      <c r="J10" s="25" t="str">
        <f t="shared" si="1"/>
        <v xml:space="preserve"> </v>
      </c>
      <c r="K10" s="27"/>
      <c r="L10" s="28"/>
      <c r="M10" s="28"/>
      <c r="N10" s="29" t="str">
        <f t="shared" si="2"/>
        <v xml:space="preserve"> </v>
      </c>
      <c r="O10" s="36"/>
      <c r="P10" s="37"/>
      <c r="Q10" s="37"/>
      <c r="R10" s="140" t="str">
        <f t="shared" si="3"/>
        <v xml:space="preserve"> </v>
      </c>
      <c r="S10" s="43">
        <f t="shared" si="4"/>
        <v>0</v>
      </c>
      <c r="T10" s="43" t="str">
        <f t="shared" si="5"/>
        <v xml:space="preserve"> </v>
      </c>
      <c r="U10" s="45"/>
      <c r="V10" s="2"/>
    </row>
    <row r="11" spans="1:22" ht="15.75" customHeight="1" x14ac:dyDescent="0.25">
      <c r="A11" s="9"/>
      <c r="B11" s="5" t="s">
        <v>159</v>
      </c>
      <c r="C11" s="12"/>
      <c r="D11" s="13"/>
      <c r="E11" s="13"/>
      <c r="F11" s="14" t="str">
        <f t="shared" si="0"/>
        <v xml:space="preserve"> </v>
      </c>
      <c r="G11" s="21"/>
      <c r="H11" s="22"/>
      <c r="I11" s="22"/>
      <c r="J11" s="25" t="str">
        <f t="shared" si="1"/>
        <v xml:space="preserve"> </v>
      </c>
      <c r="K11" s="27"/>
      <c r="L11" s="28"/>
      <c r="M11" s="28"/>
      <c r="N11" s="29" t="str">
        <f t="shared" si="2"/>
        <v xml:space="preserve"> </v>
      </c>
      <c r="O11" s="36"/>
      <c r="P11" s="37"/>
      <c r="Q11" s="37"/>
      <c r="R11" s="140" t="str">
        <f t="shared" si="3"/>
        <v xml:space="preserve"> </v>
      </c>
      <c r="S11" s="43">
        <f t="shared" si="4"/>
        <v>0</v>
      </c>
      <c r="T11" s="43" t="str">
        <f t="shared" si="5"/>
        <v xml:space="preserve"> </v>
      </c>
      <c r="U11" s="45"/>
      <c r="V11" s="2"/>
    </row>
    <row r="12" spans="1:22" ht="15.75" customHeight="1" x14ac:dyDescent="0.25">
      <c r="A12" s="9"/>
      <c r="B12" s="5" t="s">
        <v>160</v>
      </c>
      <c r="C12" s="12"/>
      <c r="D12" s="13"/>
      <c r="E12" s="13"/>
      <c r="F12" s="14" t="str">
        <f t="shared" si="0"/>
        <v xml:space="preserve"> </v>
      </c>
      <c r="G12" s="21"/>
      <c r="H12" s="22"/>
      <c r="I12" s="22"/>
      <c r="J12" s="25" t="str">
        <f t="shared" si="1"/>
        <v xml:space="preserve"> </v>
      </c>
      <c r="K12" s="27"/>
      <c r="L12" s="28"/>
      <c r="M12" s="28"/>
      <c r="N12" s="29" t="str">
        <f t="shared" si="2"/>
        <v xml:space="preserve"> </v>
      </c>
      <c r="O12" s="36"/>
      <c r="P12" s="37"/>
      <c r="Q12" s="37"/>
      <c r="R12" s="140" t="str">
        <f t="shared" si="3"/>
        <v xml:space="preserve"> </v>
      </c>
      <c r="S12" s="43">
        <f t="shared" si="4"/>
        <v>0</v>
      </c>
      <c r="T12" s="43" t="str">
        <f t="shared" si="5"/>
        <v xml:space="preserve"> </v>
      </c>
      <c r="U12" s="45"/>
      <c r="V12" s="2"/>
    </row>
    <row r="13" spans="1:22" ht="15.75" customHeight="1" x14ac:dyDescent="0.25">
      <c r="A13" s="9"/>
      <c r="B13" s="5" t="s">
        <v>161</v>
      </c>
      <c r="C13" s="12"/>
      <c r="D13" s="13"/>
      <c r="E13" s="13"/>
      <c r="F13" s="14" t="str">
        <f t="shared" si="0"/>
        <v xml:space="preserve"> </v>
      </c>
      <c r="G13" s="21"/>
      <c r="H13" s="22"/>
      <c r="I13" s="22"/>
      <c r="J13" s="25" t="str">
        <f t="shared" si="1"/>
        <v xml:space="preserve"> </v>
      </c>
      <c r="K13" s="27"/>
      <c r="L13" s="28"/>
      <c r="M13" s="28"/>
      <c r="N13" s="29" t="str">
        <f t="shared" si="2"/>
        <v xml:space="preserve"> </v>
      </c>
      <c r="O13" s="36"/>
      <c r="P13" s="37"/>
      <c r="Q13" s="37"/>
      <c r="R13" s="140" t="str">
        <f t="shared" si="3"/>
        <v xml:space="preserve"> </v>
      </c>
      <c r="S13" s="43">
        <f t="shared" si="4"/>
        <v>0</v>
      </c>
      <c r="T13" s="43" t="str">
        <f t="shared" si="5"/>
        <v xml:space="preserve"> </v>
      </c>
      <c r="U13" s="45"/>
      <c r="V13" s="2"/>
    </row>
    <row r="14" spans="1:22" ht="15.75" customHeight="1" x14ac:dyDescent="0.25">
      <c r="A14" s="9"/>
      <c r="B14" s="5" t="s">
        <v>162</v>
      </c>
      <c r="C14" s="12"/>
      <c r="D14" s="13"/>
      <c r="E14" s="13"/>
      <c r="F14" s="14" t="str">
        <f t="shared" si="0"/>
        <v xml:space="preserve"> </v>
      </c>
      <c r="G14" s="21"/>
      <c r="H14" s="22"/>
      <c r="I14" s="22"/>
      <c r="J14" s="25" t="str">
        <f t="shared" si="1"/>
        <v xml:space="preserve"> </v>
      </c>
      <c r="K14" s="27"/>
      <c r="L14" s="28"/>
      <c r="M14" s="28"/>
      <c r="N14" s="29" t="str">
        <f t="shared" si="2"/>
        <v xml:space="preserve"> </v>
      </c>
      <c r="O14" s="36"/>
      <c r="P14" s="37"/>
      <c r="Q14" s="37"/>
      <c r="R14" s="140" t="str">
        <f t="shared" si="3"/>
        <v xml:space="preserve"> </v>
      </c>
      <c r="S14" s="43">
        <f t="shared" si="4"/>
        <v>0</v>
      </c>
      <c r="T14" s="43" t="str">
        <f t="shared" si="5"/>
        <v xml:space="preserve"> </v>
      </c>
      <c r="U14" s="45"/>
      <c r="V14" s="2"/>
    </row>
    <row r="15" spans="1:22" ht="15.75" customHeight="1" x14ac:dyDescent="0.25">
      <c r="A15" s="9"/>
      <c r="B15" s="5" t="s">
        <v>163</v>
      </c>
      <c r="C15" s="12"/>
      <c r="D15" s="13"/>
      <c r="E15" s="13"/>
      <c r="F15" s="14" t="str">
        <f t="shared" si="0"/>
        <v xml:space="preserve"> </v>
      </c>
      <c r="G15" s="21"/>
      <c r="H15" s="22"/>
      <c r="I15" s="22"/>
      <c r="J15" s="25" t="str">
        <f t="shared" si="1"/>
        <v xml:space="preserve"> </v>
      </c>
      <c r="K15" s="27"/>
      <c r="L15" s="28"/>
      <c r="M15" s="28"/>
      <c r="N15" s="29" t="str">
        <f t="shared" si="2"/>
        <v xml:space="preserve"> </v>
      </c>
      <c r="O15" s="36"/>
      <c r="P15" s="37"/>
      <c r="Q15" s="37"/>
      <c r="R15" s="140" t="str">
        <f t="shared" si="3"/>
        <v xml:space="preserve"> </v>
      </c>
      <c r="S15" s="43">
        <f t="shared" si="4"/>
        <v>0</v>
      </c>
      <c r="T15" s="43" t="str">
        <f t="shared" si="5"/>
        <v xml:space="preserve"> </v>
      </c>
      <c r="U15" s="45"/>
      <c r="V15" s="2"/>
    </row>
    <row r="16" spans="1:22" ht="15.75" customHeight="1" x14ac:dyDescent="0.25">
      <c r="A16" s="9"/>
      <c r="B16" s="5" t="s">
        <v>164</v>
      </c>
      <c r="C16" s="12"/>
      <c r="D16" s="13"/>
      <c r="E16" s="13"/>
      <c r="F16" s="14" t="str">
        <f t="shared" si="0"/>
        <v xml:space="preserve"> </v>
      </c>
      <c r="G16" s="21"/>
      <c r="H16" s="22"/>
      <c r="I16" s="22"/>
      <c r="J16" s="25" t="str">
        <f t="shared" si="1"/>
        <v xml:space="preserve"> </v>
      </c>
      <c r="K16" s="27"/>
      <c r="L16" s="28"/>
      <c r="M16" s="28"/>
      <c r="N16" s="29" t="str">
        <f t="shared" si="2"/>
        <v xml:space="preserve"> </v>
      </c>
      <c r="O16" s="36"/>
      <c r="P16" s="37"/>
      <c r="Q16" s="37"/>
      <c r="R16" s="140" t="str">
        <f t="shared" si="3"/>
        <v xml:space="preserve"> </v>
      </c>
      <c r="S16" s="43">
        <f t="shared" si="4"/>
        <v>0</v>
      </c>
      <c r="T16" s="43" t="str">
        <f t="shared" si="5"/>
        <v xml:space="preserve"> </v>
      </c>
      <c r="U16" s="45"/>
      <c r="V16" s="2"/>
    </row>
    <row r="17" spans="1:22" ht="15.75" customHeight="1" x14ac:dyDescent="0.25">
      <c r="A17" s="9"/>
      <c r="B17" s="5" t="s">
        <v>165</v>
      </c>
      <c r="C17" s="12"/>
      <c r="D17" s="13"/>
      <c r="E17" s="13"/>
      <c r="F17" s="14" t="str">
        <f t="shared" si="0"/>
        <v xml:space="preserve"> </v>
      </c>
      <c r="G17" s="21"/>
      <c r="H17" s="22"/>
      <c r="I17" s="22"/>
      <c r="J17" s="25" t="str">
        <f t="shared" si="1"/>
        <v xml:space="preserve"> </v>
      </c>
      <c r="K17" s="27"/>
      <c r="L17" s="28"/>
      <c r="M17" s="28"/>
      <c r="N17" s="29" t="str">
        <f t="shared" si="2"/>
        <v xml:space="preserve"> </v>
      </c>
      <c r="O17" s="36"/>
      <c r="P17" s="37"/>
      <c r="Q17" s="37"/>
      <c r="R17" s="140" t="str">
        <f t="shared" si="3"/>
        <v xml:space="preserve"> </v>
      </c>
      <c r="S17" s="43">
        <f t="shared" si="4"/>
        <v>0</v>
      </c>
      <c r="T17" s="43" t="str">
        <f t="shared" si="5"/>
        <v xml:space="preserve"> </v>
      </c>
      <c r="U17" s="45"/>
      <c r="V17" s="2"/>
    </row>
    <row r="18" spans="1:22" ht="15.75" customHeight="1" thickBot="1" x14ac:dyDescent="0.3">
      <c r="A18" s="10"/>
      <c r="B18" s="11" t="s">
        <v>166</v>
      </c>
      <c r="C18" s="15"/>
      <c r="D18" s="16"/>
      <c r="E18" s="16"/>
      <c r="F18" s="17" t="str">
        <f t="shared" si="0"/>
        <v xml:space="preserve"> </v>
      </c>
      <c r="G18" s="23"/>
      <c r="H18" s="24"/>
      <c r="I18" s="24"/>
      <c r="J18" s="26" t="str">
        <f t="shared" si="1"/>
        <v xml:space="preserve"> </v>
      </c>
      <c r="K18" s="30"/>
      <c r="L18" s="31"/>
      <c r="M18" s="31"/>
      <c r="N18" s="32" t="str">
        <f t="shared" si="2"/>
        <v xml:space="preserve"> </v>
      </c>
      <c r="O18" s="38"/>
      <c r="P18" s="39"/>
      <c r="Q18" s="39"/>
      <c r="R18" s="141" t="str">
        <f t="shared" si="3"/>
        <v xml:space="preserve"> </v>
      </c>
      <c r="S18" s="43">
        <f t="shared" si="4"/>
        <v>0</v>
      </c>
      <c r="T18" s="44" t="str">
        <f t="shared" si="5"/>
        <v xml:space="preserve"> </v>
      </c>
      <c r="U18" s="46"/>
      <c r="V18" s="2"/>
    </row>
    <row r="19" spans="1:22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 thickBot="1" x14ac:dyDescent="0.3"/>
    <row r="21" spans="1:22" ht="15.75" customHeight="1" x14ac:dyDescent="0.25">
      <c r="D21" s="89" t="s">
        <v>52</v>
      </c>
      <c r="E21" s="90"/>
      <c r="F21" s="90"/>
      <c r="G21" s="90"/>
      <c r="H21" s="90"/>
      <c r="I21" s="90"/>
      <c r="J21" s="90"/>
      <c r="K21" s="91"/>
      <c r="M21" s="68" t="s">
        <v>158</v>
      </c>
      <c r="N21" s="69"/>
      <c r="O21" s="69"/>
      <c r="P21" s="69"/>
      <c r="Q21" s="69"/>
      <c r="R21" s="69"/>
      <c r="S21" s="69"/>
      <c r="T21" s="70"/>
    </row>
    <row r="22" spans="1:22" ht="15.75" customHeight="1" x14ac:dyDescent="0.25">
      <c r="D22" s="77" t="s">
        <v>154</v>
      </c>
      <c r="E22" s="78"/>
      <c r="F22" s="78"/>
      <c r="G22" s="78"/>
      <c r="H22" s="78"/>
      <c r="I22" s="81" t="s">
        <v>155</v>
      </c>
      <c r="J22" s="81"/>
      <c r="K22" s="82"/>
      <c r="M22" s="71"/>
      <c r="N22" s="72"/>
      <c r="O22" s="72"/>
      <c r="P22" s="72"/>
      <c r="Q22" s="72"/>
      <c r="R22" s="72"/>
      <c r="S22" s="72"/>
      <c r="T22" s="73"/>
    </row>
    <row r="23" spans="1:22" ht="15.75" customHeight="1" x14ac:dyDescent="0.25">
      <c r="D23" s="77"/>
      <c r="E23" s="78"/>
      <c r="F23" s="78"/>
      <c r="G23" s="78"/>
      <c r="H23" s="78"/>
      <c r="I23" s="81"/>
      <c r="J23" s="81"/>
      <c r="K23" s="82"/>
      <c r="M23" s="71"/>
      <c r="N23" s="72"/>
      <c r="O23" s="72"/>
      <c r="P23" s="72"/>
      <c r="Q23" s="72"/>
      <c r="R23" s="72"/>
      <c r="S23" s="72"/>
      <c r="T23" s="73"/>
    </row>
    <row r="24" spans="1:22" ht="15.75" customHeight="1" x14ac:dyDescent="0.25">
      <c r="D24" s="77"/>
      <c r="E24" s="78"/>
      <c r="F24" s="78"/>
      <c r="G24" s="78"/>
      <c r="H24" s="78"/>
      <c r="I24" s="81"/>
      <c r="J24" s="81"/>
      <c r="K24" s="82"/>
      <c r="M24" s="71"/>
      <c r="N24" s="72"/>
      <c r="O24" s="72"/>
      <c r="P24" s="72"/>
      <c r="Q24" s="72"/>
      <c r="R24" s="72"/>
      <c r="S24" s="72"/>
      <c r="T24" s="73"/>
    </row>
    <row r="25" spans="1:22" ht="15.75" customHeight="1" thickBot="1" x14ac:dyDescent="0.3">
      <c r="D25" s="77"/>
      <c r="E25" s="78"/>
      <c r="F25" s="78"/>
      <c r="G25" s="78"/>
      <c r="H25" s="78"/>
      <c r="I25" s="81"/>
      <c r="J25" s="81"/>
      <c r="K25" s="82"/>
      <c r="M25" s="74"/>
      <c r="N25" s="75"/>
      <c r="O25" s="75"/>
      <c r="P25" s="75"/>
      <c r="Q25" s="75"/>
      <c r="R25" s="75"/>
      <c r="S25" s="75"/>
      <c r="T25" s="76"/>
    </row>
    <row r="26" spans="1:22" ht="15.75" customHeight="1" x14ac:dyDescent="0.25">
      <c r="D26" s="77"/>
      <c r="E26" s="78"/>
      <c r="F26" s="78"/>
      <c r="G26" s="78"/>
      <c r="H26" s="78"/>
      <c r="I26" s="81"/>
      <c r="J26" s="81"/>
      <c r="K26" s="82"/>
    </row>
    <row r="27" spans="1:22" ht="15.75" customHeight="1" thickBot="1" x14ac:dyDescent="0.3">
      <c r="D27" s="79"/>
      <c r="E27" s="80"/>
      <c r="F27" s="80"/>
      <c r="G27" s="80"/>
      <c r="H27" s="80"/>
      <c r="I27" s="83"/>
      <c r="J27" s="83"/>
      <c r="K27" s="84"/>
    </row>
    <row r="28" spans="1:22" ht="15.75" customHeight="1" x14ac:dyDescent="0.25">
      <c r="D28" s="50"/>
      <c r="E28" s="50"/>
    </row>
    <row r="29" spans="1:22" ht="15.75" customHeight="1" thickBot="1" x14ac:dyDescent="0.3">
      <c r="D29" s="50"/>
      <c r="E29" s="50"/>
    </row>
    <row r="30" spans="1:22" ht="15.75" customHeight="1" x14ac:dyDescent="0.25">
      <c r="D30" s="87" t="s">
        <v>60</v>
      </c>
      <c r="E30" s="85"/>
      <c r="F30" s="85"/>
      <c r="G30" s="85"/>
      <c r="H30" s="85"/>
      <c r="I30" s="85" t="s">
        <v>156</v>
      </c>
      <c r="J30" s="85"/>
      <c r="K30" s="86"/>
    </row>
    <row r="31" spans="1:22" ht="15.75" customHeight="1" thickBot="1" x14ac:dyDescent="0.3">
      <c r="D31" s="88"/>
      <c r="E31" s="83"/>
      <c r="F31" s="83"/>
      <c r="G31" s="83"/>
      <c r="H31" s="83"/>
      <c r="I31" s="83"/>
      <c r="J31" s="83"/>
      <c r="K31" s="84"/>
    </row>
    <row r="32" spans="1:22" ht="15.75" customHeight="1" thickBot="1" x14ac:dyDescent="0.3">
      <c r="D32" s="67"/>
      <c r="I32" s="67"/>
    </row>
    <row r="33" spans="4:11" ht="15.75" customHeight="1" x14ac:dyDescent="0.25">
      <c r="D33" s="87" t="s">
        <v>63</v>
      </c>
      <c r="E33" s="85"/>
      <c r="F33" s="85"/>
      <c r="G33" s="85"/>
      <c r="H33" s="85"/>
      <c r="I33" s="85" t="s">
        <v>157</v>
      </c>
      <c r="J33" s="85"/>
      <c r="K33" s="86"/>
    </row>
    <row r="34" spans="4:11" ht="15.75" customHeight="1" thickBot="1" x14ac:dyDescent="0.3">
      <c r="D34" s="88"/>
      <c r="E34" s="83"/>
      <c r="F34" s="83"/>
      <c r="G34" s="83"/>
      <c r="H34" s="83"/>
      <c r="I34" s="83"/>
      <c r="J34" s="83"/>
      <c r="K34" s="84"/>
    </row>
    <row r="35" spans="4:11" ht="15.75" customHeight="1" x14ac:dyDescent="0.25">
      <c r="D35" s="50"/>
      <c r="E35" s="50"/>
    </row>
    <row r="36" spans="4:11" ht="15.75" customHeight="1" x14ac:dyDescent="0.25">
      <c r="D36" s="67"/>
      <c r="E36" s="67"/>
    </row>
  </sheetData>
  <sheetProtection algorithmName="SHA-512" hashValue="Htp5hLvpZnkZ2XqHSHOd9WlQI0cjowEjhLd0gOGjm6VbGJSpyy56ZZwk3Pn5hloSKmQLkUiJ8iVQ7OA7yBo+KQ==" saltValue="CQZ/X9INLfKR6pQy/PqAtw==" spinCount="100000" sheet="1" objects="1" scenarios="1" selectLockedCells="1"/>
  <mergeCells count="16">
    <mergeCell ref="S1:S3"/>
    <mergeCell ref="T1:T3"/>
    <mergeCell ref="U1:U3"/>
    <mergeCell ref="A1:B2"/>
    <mergeCell ref="C1:F2"/>
    <mergeCell ref="G1:J2"/>
    <mergeCell ref="K1:N2"/>
    <mergeCell ref="O1:R2"/>
    <mergeCell ref="M21:T25"/>
    <mergeCell ref="D22:H27"/>
    <mergeCell ref="I22:K27"/>
    <mergeCell ref="I30:K31"/>
    <mergeCell ref="I33:K34"/>
    <mergeCell ref="D30:H31"/>
    <mergeCell ref="D33:H34"/>
    <mergeCell ref="D21:K21"/>
  </mergeCells>
  <phoneticPr fontId="10" type="noConversion"/>
  <conditionalFormatting sqref="F4:F18">
    <cfRule type="colorScale" priority="6">
      <colorScale>
        <cfvo type="num" val="0.8"/>
        <cfvo type="num" val="1"/>
        <cfvo type="num" val="1.2"/>
        <color rgb="FFF8696B"/>
        <color rgb="FFFFEB84"/>
        <color rgb="FF63BE7B"/>
      </colorScale>
    </cfRule>
  </conditionalFormatting>
  <conditionalFormatting sqref="J4:J18">
    <cfRule type="colorScale" priority="3">
      <colorScale>
        <cfvo type="num" val="0.8"/>
        <cfvo type="num" val="1"/>
        <cfvo type="num" val="1.2"/>
        <color rgb="FFF8696B"/>
        <color rgb="FFFFEB84"/>
        <color rgb="FF63BE7B"/>
      </colorScale>
    </cfRule>
  </conditionalFormatting>
  <conditionalFormatting sqref="N4:N18">
    <cfRule type="colorScale" priority="4">
      <colorScale>
        <cfvo type="num" val="1"/>
        <cfvo type="num" val="1.2"/>
        <cfvo type="num" val="1.4"/>
        <color rgb="FFF8696B"/>
        <color rgb="FFFFEB84"/>
        <color rgb="FF63BE7B"/>
      </colorScale>
    </cfRule>
  </conditionalFormatting>
  <conditionalFormatting sqref="R4:R18">
    <cfRule type="colorScale" priority="1">
      <colorScale>
        <cfvo type="num" val="1"/>
        <cfvo type="num" val="1.1499999999999999"/>
        <cfvo type="num" val="1.3"/>
        <color rgb="FFF8696B"/>
        <color rgb="FFFFEB84"/>
        <color rgb="FF63BE7B"/>
      </colorScale>
    </cfRule>
  </conditionalFormatting>
  <conditionalFormatting sqref="T4:T18">
    <cfRule type="colorScale" priority="2">
      <colorScale>
        <cfvo type="num" val="0.8"/>
        <cfvo type="num" val="1"/>
        <cfvo type="num" val="1.2"/>
        <color rgb="FFF8696B"/>
        <color rgb="FFFFEB84"/>
        <color rgb="FF63BE7B"/>
      </colorScale>
    </cfRule>
  </conditionalFormatting>
  <hyperlinks>
    <hyperlink ref="M21" r:id="rId1" xr:uid="{907C8CC2-9173-42BC-974E-789D8720A89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Mock Tracking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</dc:creator>
  <cp:lastModifiedBy>Jigar Parekh</cp:lastModifiedBy>
  <dcterms:created xsi:type="dcterms:W3CDTF">2026-04-08T08:32:21Z</dcterms:created>
  <dcterms:modified xsi:type="dcterms:W3CDTF">2026-04-22T11:56:26Z</dcterms:modified>
</cp:coreProperties>
</file>